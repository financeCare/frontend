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oranut\Desktop\financeCare\frontend\e2e\"/>
    </mc:Choice>
  </mc:AlternateContent>
  <xr:revisionPtr revIDLastSave="0" documentId="13_ncr:1_{D6E50CBD-17CA-4018-BFC0-DEF34E3122E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สรุป" sheetId="1" r:id="rId1"/>
    <sheet name="Test Cases" sheetId="2" r:id="rId2"/>
    <sheet name="Bug ที่พบ" sheetId="3" r:id="rId3"/>
  </sheets>
  <definedNames>
    <definedName name="_xlnm._FilterDatabase" localSheetId="1" hidden="1">'Test Cases'!$A$1:$L$115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" l="1"/>
  <c r="D30" i="1"/>
  <c r="C30" i="1"/>
  <c r="E29" i="1"/>
  <c r="D29" i="1"/>
  <c r="C29" i="1"/>
  <c r="H24" i="1"/>
  <c r="G24" i="1"/>
  <c r="F24" i="1"/>
  <c r="E24" i="1"/>
  <c r="D24" i="1"/>
  <c r="C24" i="1"/>
  <c r="I24" i="1" s="1"/>
  <c r="H23" i="1"/>
  <c r="G23" i="1"/>
  <c r="G25" i="1" s="1"/>
  <c r="F23" i="1"/>
  <c r="E23" i="1"/>
  <c r="D23" i="1"/>
  <c r="C23" i="1"/>
  <c r="I23" i="1" s="1"/>
  <c r="H22" i="1"/>
  <c r="G22" i="1"/>
  <c r="F22" i="1"/>
  <c r="E22" i="1"/>
  <c r="D22" i="1"/>
  <c r="C22" i="1"/>
  <c r="I22" i="1" s="1"/>
  <c r="H21" i="1"/>
  <c r="G21" i="1"/>
  <c r="F21" i="1"/>
  <c r="E21" i="1"/>
  <c r="D21" i="1"/>
  <c r="C21" i="1"/>
  <c r="I21" i="1" s="1"/>
  <c r="H20" i="1"/>
  <c r="G20" i="1"/>
  <c r="F20" i="1"/>
  <c r="E20" i="1"/>
  <c r="D20" i="1"/>
  <c r="C20" i="1"/>
  <c r="I20" i="1" s="1"/>
  <c r="H19" i="1"/>
  <c r="G19" i="1"/>
  <c r="F19" i="1"/>
  <c r="E19" i="1"/>
  <c r="D19" i="1"/>
  <c r="C19" i="1"/>
  <c r="I19" i="1" s="1"/>
  <c r="I18" i="1"/>
  <c r="H18" i="1"/>
  <c r="G18" i="1"/>
  <c r="F18" i="1"/>
  <c r="E18" i="1"/>
  <c r="D18" i="1"/>
  <c r="C18" i="1"/>
  <c r="H17" i="1"/>
  <c r="G17" i="1"/>
  <c r="F17" i="1"/>
  <c r="F25" i="1" s="1"/>
  <c r="E17" i="1"/>
  <c r="E25" i="1" s="1"/>
  <c r="D17" i="1"/>
  <c r="D25" i="1" s="1"/>
  <c r="C17" i="1"/>
  <c r="C25" i="1" s="1"/>
  <c r="C11" i="1"/>
  <c r="C10" i="1"/>
  <c r="C9" i="1"/>
  <c r="C8" i="1"/>
  <c r="C7" i="1"/>
  <c r="H25" i="1" l="1"/>
  <c r="I25" i="1"/>
  <c r="C12" i="1"/>
  <c r="D11" i="1"/>
  <c r="D10" i="1"/>
  <c r="D8" i="1"/>
  <c r="D7" i="1"/>
  <c r="D9" i="1"/>
  <c r="C13" i="1"/>
  <c r="I17" i="1"/>
  <c r="D12" i="1" l="1"/>
</calcChain>
</file>

<file path=xl/sharedStrings.xml><?xml version="1.0" encoding="utf-8"?>
<sst xmlns="http://schemas.openxmlformats.org/spreadsheetml/2006/main" count="1418" uniqueCount="681">
  <si>
    <t>FinanceCare — สรุปผลการทดสอบ</t>
  </si>
  <si>
    <t>ตัวเลขทั้งหมดคำนวณจากชีต Test Cases (คอลัมน์ สถานะ) อัปเดตเองเมื่อแก้สถานะ</t>
  </si>
  <si>
    <t>ภาพรวมตามสถานะ</t>
  </si>
  <si>
    <t>สถานะ</t>
  </si>
  <si>
    <t>จำนวน</t>
  </si>
  <si>
    <t>สัดส่วน</t>
  </si>
  <si>
    <t>ยังไม่ทดสอบ</t>
  </si>
  <si>
    <t>ผ่าน</t>
  </si>
  <si>
    <t>ไม่ผ่าน</t>
  </si>
  <si>
    <t>ข้าม</t>
  </si>
  <si>
    <t>บล็อก</t>
  </si>
  <si>
    <t>รวมทั้งหมด</t>
  </si>
  <si>
    <t>ความคืบหน้า (ผ่าน ÷ รวม)</t>
  </si>
  <si>
    <t>แยกตามกลุ่ม</t>
  </si>
  <si>
    <t>กลุ่ม</t>
  </si>
  <si>
    <t>รวม</t>
  </si>
  <si>
    <t>% ผ่าน</t>
  </si>
  <si>
    <t>หน้า Login (UI อัตโนมัติ)</t>
  </si>
  <si>
    <t>ปุ่ม Google (อัตโนมัติ)</t>
  </si>
  <si>
    <t>Backend API (อัตโนมัติ)</t>
  </si>
  <si>
    <t>Backend Unit Test</t>
  </si>
  <si>
    <t>ล็อกอิน Google (ทดสอบเอง)</t>
  </si>
  <si>
    <t>สมัคร/ล็อกอินอีเมล, LINE (ทดสอบเอง)</t>
  </si>
  <si>
    <t>ฟีเจอร์หลังล็อกอิน (อัตโนมัติ + ทดสอบเอง)</t>
  </si>
  <si>
    <t>ข้ามเบราว์เซอร์/อุปกรณ์ (ทดสอบเอง)</t>
  </si>
  <si>
    <t>แยกตามวิธีทดสอบ</t>
  </si>
  <si>
    <t>วิธี</t>
  </si>
  <si>
    <t>อัตโนมัติ</t>
  </si>
  <si>
    <t>ทดสอบเอง</t>
  </si>
  <si>
    <t>วิธีใช้</t>
  </si>
  <si>
    <t>1) ไปที่ชีต Test Cases แถวที่วิธีทดสอบเป็น 'ทดสอบเอง' ทำตามขั้นตอนแล้วเทียบกับผลที่คาดหวัง</t>
  </si>
  <si>
    <t>2) กรอกช่องสีเหลืองอ่อน 4 ช่อง: สถานะ (เลือกจากรายการ), วันที่ทดสอบ, ผู้ทดสอบ, หมายเหตุ / ผลที่เกิดขึ้นจริง</t>
  </si>
  <si>
    <t>3) ถ้าไม่ผ่าน ให้เลือก 'ไม่ผ่าน' และจดสิ่งที่เห็นจริงในหมายเหตุ (แนบ error / ภาพหน้าจอ)</t>
  </si>
  <si>
    <t>4) แถวอัตโนมัติ: รัน  cd frontend/e2e &amp;&amp; npm test  แล้วอัปเดตสถานะจากผลที่ได้ (ชื่อเทสต์มีรหัส TC-… ตรงกับคอลัมน์ รหัส)</t>
  </si>
  <si>
    <t>5) แถว BE-UT: รันใน repo backend ด้วย  ./gradlew test --tests "*UserServiceTest"</t>
  </si>
  <si>
    <t>6) ชีต Bug ที่พบ ใช้ดูว่าบั๊กแต่ละตัวมีเทสต์อะไรกันไม่ให้กลับมา</t>
  </si>
  <si>
    <t>ตัวอย่างการกรอก (แถวทดสอบเอง)</t>
  </si>
  <si>
    <t>รหัส</t>
  </si>
  <si>
    <t>วันที่ทดสอบ</t>
  </si>
  <si>
    <t>ผู้ทดสอบ</t>
  </si>
  <si>
    <t>หมายเหตุ / ผลที่เกิดขึ้นจริง</t>
  </si>
  <si>
    <t>M-G01 (ตัวอย่าง)</t>
  </si>
  <si>
    <t>สรานุช</t>
  </si>
  <si>
    <t>เข้า Home ได้ มีหมวดหมู่ 10 หมวด ไม่มี 401</t>
  </si>
  <si>
    <t>หมายเหตุ (อัปเดต 2026-10-14): ชุด UI/API ทั่วไปรันบน production ส่วนเคสที่ต้องใช้รหัสผ่าน/JWT secret/แก้ข้อมูล (TC-EM, TC-AUTH, TC-FT, TC-UF) รันบน localhost เท่านั้น | e2e ทั้งชุดบน localhost รอบล่าสุด: ผ่าน 74 ข้าม 1 ตก 1 (ตก = TC-FT-21 ก่อนแก้ ปัจจุบันแก้แล้วและรันซ้ำผ่าน) | unit test ทั้งโปรเจกต์: 183 ข้อ ตก 21 ข้อที่ตกมาแต่เดิม</t>
  </si>
  <si>
    <t>บัญชีทดสอบอีเมลที่ยืนยันแล้ว: Soranut459@gmail.com (รหัสผ่านเก็บใน frontend/e2e/.env ที่ไม่ถูก commit ไม่เก็บในไฟล์นี้)</t>
  </si>
  <si>
    <t>หัวข้อ</t>
  </si>
  <si>
    <t>ขั้นตอน</t>
  </si>
  <si>
    <t>ผลที่คาดหวัง</t>
  </si>
  <si>
    <t>ความสำคัญ</t>
  </si>
  <si>
    <t>วิธีทดสอบ</t>
  </si>
  <si>
    <t>ที่มาของเทสต์อัตโนมัติ</t>
  </si>
  <si>
    <t>TC-UI-01</t>
  </si>
  <si>
    <t>โหลดหน้าเว็บไม่มี error</t>
  </si>
  <si>
    <t>1. เปิดเว็บ
2. รอ Flutter โหลดเสร็จ
3. ดู console</t>
  </si>
  <si>
    <t>ไม่มี console.error / pageerror และไม่มีข้อความ Google origin ไม่ถูกต้อง</t>
  </si>
  <si>
    <t>สูง</t>
  </si>
  <si>
    <t>frontend/e2e/tests/ui.spec.ts</t>
  </si>
  <si>
    <t>Playwright (auto)</t>
  </si>
  <si>
    <t>TC-UI-02</t>
  </si>
  <si>
    <t>หน้า Login แสดงส่วนประกอบครบ</t>
  </si>
  <si>
    <t>1. เปิดเว็บ</t>
  </si>
  <si>
    <t>เห็น FINANCE CARE, แท็บเข้าสู่ระบบ/สมัครสมาชิก, ปุ่ม LINE, ปุ่ม Google, ช่องอีเมล, ช่องรหัสผ่าน</t>
  </si>
  <si>
    <t>TC-UI-03</t>
  </si>
  <si>
    <t>สลับไปแท็บสมัครสมาชิก</t>
  </si>
  <si>
    <t>1. เปิดเว็บ
2. กดแท็บ สมัครสมาชิก</t>
  </si>
  <si>
    <t>มีช่องยืนยันรหัสผ่านและปุ่มสร้างบัญชี</t>
  </si>
  <si>
    <t>กลาง</t>
  </si>
  <si>
    <t>TC-UI-04</t>
  </si>
  <si>
    <t>กดเข้าสู่ระบบโดยไม่กรอกข้อมูล</t>
  </si>
  <si>
    <t>1. เปิดเว็บ
2. กดปุ่ม เข้าสู่ระบบ โดยไม่กรอกอะไร</t>
  </si>
  <si>
    <t>แสดงข้อความ กรุณากรอกข้อมูล</t>
  </si>
  <si>
    <t>TC-UI-05</t>
  </si>
  <si>
    <t>อีเมล/รหัสผ่านผิด</t>
  </si>
  <si>
    <t>1. กรอกอีเมลที่ไม่มีในระบบ + รหัสผ่านมั่ว
2. กดเข้าสู่ระบบ</t>
  </si>
  <si>
    <t>แสดง dialog อีเมลหรือรหัสผ่านไม่ถูกต้อง และไม่เข้าหน้า home</t>
  </si>
  <si>
    <t>TC-UI-06</t>
  </si>
  <si>
    <t>ไม่มี token แล้วเข้า home (Demo Bypass)</t>
  </si>
  <si>
    <t>1. เปิดเว็บ (ยังไม่ล็อกอิน)
2. กด Demo Bypass</t>
  </si>
  <si>
    <t>ถูกเด้งกลับหน้า login และไม่มี error ที่ไม่ได้จัดการ</t>
  </si>
  <si>
    <t>TC-UI-07</t>
  </si>
  <si>
    <t>หน้าจอมือถือ 390x844</t>
  </si>
  <si>
    <t>1. เปิดเว็บด้วยขนาดจอมือถือ</t>
  </si>
  <si>
    <t>ปุ่มใช้งานได้ และไม่มี scroll แนวนอน</t>
  </si>
  <si>
    <t>TC-GG-01</t>
  </si>
  <si>
    <t>ปุ่ม Google วางทับปุ่มที่เห็นและสูงเท่าปุ่ม LINE</t>
  </si>
  <si>
    <t>1. เปิดเว็บ
2. วัดขนาดปุ่มของ Google เทียบปุ่ม LINE</t>
  </si>
  <si>
    <t>iframe ของ Google กว้างกว่า 200px และความสูงต่างจากปุ่ม LINE ไม่เกิน 4px</t>
  </si>
  <si>
    <t>TC-GG-02</t>
  </si>
  <si>
    <t>กดปุ่ม Google แล้วไม่ขึ้น origin_mismatch</t>
  </si>
  <si>
    <t>1. เปิดเว็บ
2. คลิกปุ่ม Google</t>
  </si>
  <si>
    <t>เปิด popup accounts.google.com โดยไม่ไปหน้า oauth/error / origin_mismatch</t>
  </si>
  <si>
    <t>ถ้ารันกับ localhost ต้องเพิ่ม origin ใน Google Cloud ก่อน ไม่งั้นข้อนี้จะตก (ถูกต้อง)</t>
  </si>
  <si>
    <t>TC-API-01</t>
  </si>
  <si>
    <t>Backend ตอบ (swagger)</t>
  </si>
  <si>
    <t>GET /api/swagger-ui/index.html</t>
  </si>
  <si>
    <t>HTTP 200</t>
  </si>
  <si>
    <t>frontend/e2e/tests/api.spec.ts</t>
  </si>
  <si>
    <t>TC-API-02</t>
  </si>
  <si>
    <t>CORS preflight จากเว็บ</t>
  </si>
  <si>
    <t>OPTIONS /api/auth/login/google พร้อม Origin ของเว็บ</t>
  </si>
  <si>
    <t>200 และ allow-origin ตรงกับเว็บ, allow-headers มี authorization</t>
  </si>
  <si>
    <t>TC-API-03</t>
  </si>
  <si>
    <t>ไม่มี token เรียก API ที่ต้องล็อกอิน (4 endpoint)</t>
  </si>
  <si>
    <t>GET /api/debts, /categories, /debt-types, /repayment-types โดยไม่ส่ง token</t>
  </si>
  <si>
    <t>HTTP 401 ทุกอัน</t>
  </si>
  <si>
    <t>TC-API-04</t>
  </si>
  <si>
    <t>token มั่ว ๆ</t>
  </si>
  <si>
    <t>GET /api/debts ด้วย Bearer not-a-real-token</t>
  </si>
  <si>
    <t>HTTP 401 (ไม่ใช่ 500)</t>
  </si>
  <si>
    <t>TC-API-05</t>
  </si>
  <si>
    <t>login/google ด้วย JWT ที่ไม่ถูกต้อง</t>
  </si>
  <si>
    <t>POST /api/auth/login/google ด้วย JWT ปลอม</t>
  </si>
  <si>
    <t>HTTP 401</t>
  </si>
  <si>
    <t>TC-API-06</t>
  </si>
  <si>
    <t>login/google ด้วย idToken ที่ไม่ใช่ JWT</t>
  </si>
  <si>
    <t>POST ด้วย idToken = x</t>
  </si>
  <si>
    <t>เคยเป็น 500 แก้แล้ว (commit 2959510)</t>
  </si>
  <si>
    <t>TC-API-07</t>
  </si>
  <si>
    <t>login/google ไม่มี idToken</t>
  </si>
  <si>
    <t>POST ด้วย body {}</t>
  </si>
  <si>
    <t>TC-API-08</t>
  </si>
  <si>
    <t>login อีเมลที่ไม่มีอยู่</t>
  </si>
  <si>
    <t>POST /api/auth/login ด้วยอีเมลที่ไม่มี</t>
  </si>
  <si>
    <t>TC-API-09</t>
  </si>
  <si>
    <t>login/google idToken เป็นสตริงว่าง</t>
  </si>
  <si>
    <t>POST ด้วย idToken = ว่าง</t>
  </si>
  <si>
    <t>TC-AUTH-01</t>
  </si>
  <si>
    <t>ผู้ใช้ Google (ไม่มีรหัสผ่าน) เรียก API ที่ต้องมี token (5 endpoint)</t>
  </si>
  <si>
    <t>ตั้ง E2E_JWT_SECRET และ E2E_USER_EMAIL แล้วรัน npm test</t>
  </si>
  <si>
    <t>GET /debts, /debt-types, /repayment-types, /categories, /receiver-mappings ได้ 200</t>
  </si>
  <si>
    <t>frontend/e2e/tests/auth-api.spec.ts</t>
  </si>
  <si>
    <t>Playwright (auto, localhost)</t>
  </si>
  <si>
    <t>ผ่านบน stack ในเครื่อง กับผู้ใช้ที่ password_hash เป็น NULL และ JWT ที่ลงนามด้วย secret ของ backend ในเครื่อง ยังไม่ได้รันบน production</t>
  </si>
  <si>
    <t>TC-AUTH-02</t>
  </si>
  <si>
    <t>token ที่ลงนามด้วย secret ผิด</t>
  </si>
  <si>
    <t>ตั้ง env แบบเดียวกับ TC-AUTH-01</t>
  </si>
  <si>
    <t>ผ่านบน stack ในเครื่อง ยังไม่ได้รันบน production</t>
  </si>
  <si>
    <t>BE-UT-01</t>
  </si>
  <si>
    <t>loginWithGoogle: idToken เป็น null</t>
  </si>
  <si>
    <t>JUnit</t>
  </si>
  <si>
    <t>BusinessException 401</t>
  </si>
  <si>
    <t>backend: UserServiceTest.testLoginWithGoogle_NullToken_Returns401</t>
  </si>
  <si>
    <t>JUnit (auto)</t>
  </si>
  <si>
    <t>BE-UT-02</t>
  </si>
  <si>
    <t>loginWithGoogle: idToken ว่าง</t>
  </si>
  <si>
    <t>backend: UserServiceTest.testLoginWithGoogle_BlankToken_Returns401</t>
  </si>
  <si>
    <t>BE-UT-03</t>
  </si>
  <si>
    <t>loginWithGoogle: idToken ไม่ใช่ JWT</t>
  </si>
  <si>
    <t>backend: UserServiceTest.testLoginWithGoogle_MalformedToken_Returns401</t>
  </si>
  <si>
    <t>BE-UT-04</t>
  </si>
  <si>
    <t>ผู้ใช้ไม่มีรหัสผ่านโหลดเป็น UserDetails ได้</t>
  </si>
  <si>
    <t>ไม่ throw และ password เป็นสตริงว่าง</t>
  </si>
  <si>
    <t>backend: UserServiceTest.testLoadUserByUsername_UserWithoutPassword_DoesNotThrow</t>
  </si>
  <si>
    <t>กันบั๊ก 401 ทุก request หลังล็อกอินด้วย Google</t>
  </si>
  <si>
    <t>BE-UT-05</t>
  </si>
  <si>
    <t>งบเริ่มต้นของผู้ใช้ใหม่มี month/year</t>
  </si>
  <si>
    <t>ทุก Budget ที่สร้างมี month 1-12 และ year</t>
  </si>
  <si>
    <t>backend: UserServiceTest.testCreateDefaultCategories_BudgetsHaveMonthAndYear</t>
  </si>
  <si>
    <t>กันบั๊ก null value in column month</t>
  </si>
  <si>
    <t>BE-UT-06</t>
  </si>
  <si>
    <t>UserServiceTest เดิม 4 ข้อ (สมัคร / OTP)</t>
  </si>
  <si>
    <t>ผ่านทั้งหมด</t>
  </si>
  <si>
    <t>backend: UserServiceTest.testRegisterUser_*, testVerifyOtp_*</t>
  </si>
  <si>
    <t>BE-UT-07</t>
  </si>
  <si>
    <t>Unit test ทั้งโปรเจกต์ backend</t>
  </si>
  <si>
    <t>รันใน repo financecare-backend-deploy:
./gradlew test</t>
  </si>
  <si>
    <t>backend: ./gradlew test (43 คลาส)</t>
  </si>
  <si>
    <t>รันแล้ว 183 ข้อ: ผ่าน 162 ตก 21 | ทั้ง 21 ข้อตกมาก่อนที่ผมจะแก้อะไร (รันบน commit 993a11b ได้ตก 23 ข้อชุดเดียวกัน ผมแก้ DebtServiceTest ได้ 2 ข้อ) ไม่ได้เกิดจากการแก้ของผม | ตก: CapstoneApplicationTests 1, DebtControllerTest 5, DebtTypeControllerTest 1, JobControllerTest 4, RepaymentTypeControllerTest 1, NotificationServiceTest 2, OcrServiceTest 1, ReceiverMappingServiceTest 1, RepaymentBugReproductionTest 1, RepaymentPlanServiceTest 1, RepaymentServiceTest 1, SlipServiceTest 2</t>
  </si>
  <si>
    <t>M-G01</t>
  </si>
  <si>
    <t>ล็อกอิน Google ครั้งแรก (บัญชีที่ไม่เคยมีในระบบ)</t>
  </si>
  <si>
    <t>1. เปิดเว็บใน Incognito
2. กดปุ่ม ดำเนินการต่อด้วย Google
3. เลือกบัญชีที่ยังไม่เคยใช้กับแอป</t>
  </si>
  <si>
    <t>เข้าหน้า Home ได้ ไม่มี dialog error และไม่ถูกเด้งกลับ login
มีหมวดหมู่เริ่มต้นรายรับ 2 และรายจ่าย 8 หมวด</t>
  </si>
  <si>
    <t>-</t>
  </si>
  <si>
    <t>ข้อนี้คือ flow ที่เคยพังหลายรอบ ต้องทดสอบด้วยตัวเองเพราะ Google บล็อกบอต</t>
  </si>
  <si>
    <t>M-G02</t>
  </si>
  <si>
    <t>ล็อกอิน Google ซ้ำด้วยบัญชีเดิม</t>
  </si>
  <si>
    <t>1. ล็อกอิน Google ด้วยบัญชีที่เคยล็อกอินแล้ว</t>
  </si>
  <si>
    <t>เข้า Home ได้ ข้อมูลเดิมยังอยู่ และหมวดหมู่ไม่ซ้ำ</t>
  </si>
  <si>
    <t>M-G03</t>
  </si>
  <si>
    <t>รีเฟรชหน้า (F5) หลังล็อกอิน</t>
  </si>
  <si>
    <t>1. ล็อกอิน Google
2. กด F5</t>
  </si>
  <si>
    <t>ยังอยู่ในระบบ ไม่ถูกเด้งกลับ login (ถ้าแอปไม่ได้ออกแบบแบบนี้ ให้จดเป็นข้อสังเกต)</t>
  </si>
  <si>
    <t>M-G04</t>
  </si>
  <si>
    <t>ไม่เจอ 401 หลังล็อกอิน</t>
  </si>
  <si>
    <t>1. เปิด DevTools &gt; Network
2. ล็อกอิน Google
3. เปิดแต่ละหน้าหลัก</t>
  </si>
  <si>
    <t>ไม่มี request ที่ตอบ 401/500 และไม่มี error ใน Console</t>
  </si>
  <si>
    <t>เคยเจอ 401 ทุก request เพราะผู้ใช้ไม่มีรหัสผ่าน (แก้แล้ว)</t>
  </si>
  <si>
    <t>M-G05</t>
  </si>
  <si>
    <t>ปิด popup ของ Google กลางทาง</t>
  </si>
  <si>
    <t>1. กดปุ่ม Google
2. ปิด popup โดยไม่เลือกบัญชี</t>
  </si>
  <si>
    <t>แอปไม่ค้าง ไม่เข้าหน้า home และกดลองใหม่ได้</t>
  </si>
  <si>
    <t>ต่ำ</t>
  </si>
  <si>
    <t>M-G06</t>
  </si>
  <si>
    <t>ออกจากระบบแล้วล็อกอิน Google อีกครั้ง</t>
  </si>
  <si>
    <t>1. ออกจากระบบ
2. ล็อกอิน Google อีกครั้ง</t>
  </si>
  <si>
    <t>เข้า Home ได้ตามปกติ</t>
  </si>
  <si>
    <t>M-G07</t>
  </si>
  <si>
    <t>ล็อกอิน Google ตอน Render เพิ่งตื่น (cold start)</t>
  </si>
  <si>
    <t>1. ปล่อยไว้ 15+ นาทีให้ service sleep
2. ล็อกอิน Google</t>
  </si>
  <si>
    <t>request แรกช้า (ประมาณ 50 วินาที) แต่สำเร็จ ไม่ขึ้น error</t>
  </si>
  <si>
    <t>M-E01</t>
  </si>
  <si>
    <t>สมัครสมาชิกด้วยอีเมล + OTP</t>
  </si>
  <si>
    <t>1. แท็บ สมัครสมาชิก
2. กรอกอีเมลจริง รหัสผ่าน ยืนยันรหัสผ่าน
3. กดสร้างบัญชี
4. กรอก OTP จากอีเมล</t>
  </si>
  <si>
    <t>สมัครสำเร็จและเข้าใช้งานได้ ได้รับอีเมล OTP</t>
  </si>
  <si>
    <t>บนเว็บ deploy ตอนนี้ยังไม่ได้รับ OTP จนกว่าจะตั้ง Brevo (ดู M-E07)</t>
  </si>
  <si>
    <t>M-E02</t>
  </si>
  <si>
    <t>สมัครด้วยอีเมลที่มีอยู่แล้ว</t>
  </si>
  <si>
    <t>1. สมัครด้วยอีเมลที่เคยสมัคร</t>
  </si>
  <si>
    <t>แสดงข้อความว่าอีเมลซ้ำ ไม่สร้างบัญชีใหม่</t>
  </si>
  <si>
    <t>M-E03</t>
  </si>
  <si>
    <t>รหัสผ่านไม่ตรงกับช่องยืนยัน</t>
  </si>
  <si>
    <t>1. กรอกรหัสผ่านและยืนยันรหัสผ่านไม่เหมือนกัน
2. กดสร้างบัญชี</t>
  </si>
  <si>
    <t>ไม่ให้สมัคร และแจ้งให้แก้</t>
  </si>
  <si>
    <t>M-E04</t>
  </si>
  <si>
    <t>OTP ผิดหรือหมดอายุ</t>
  </si>
  <si>
    <t>1. กรอก OTP ผิด
2. ลองอีกครั้งหลัง OTP หมดอายุ</t>
  </si>
  <si>
    <t>แจ้ง error ชัดเจน ไม่เข้าใช้งาน</t>
  </si>
  <si>
    <t>M-E05</t>
  </si>
  <si>
    <t>ล็อกอินด้วยอีเมล/รหัสผ่านที่ถูกต้อง</t>
  </si>
  <si>
    <t>1. กรอกบัญชีที่สมัครไว้
2. กดเข้าสู่ระบบ</t>
  </si>
  <si>
    <t>เข้า Home ได้ ไม่มี 401</t>
  </si>
  <si>
    <t>บัญชีทดสอบ: Soranut459@gmail.com (รหัสผ่านไม่เก็บในไฟล์นี้)</t>
  </si>
  <si>
    <t>M-E06</t>
  </si>
  <si>
    <t>ล็อกอิน LINE บน web</t>
  </si>
  <si>
    <t>1. กดปุ่ม ดำเนินการต่อด้วย LINE</t>
  </si>
  <si>
    <t>จดผลที่เกิดขึ้นจริง (ยังไม่ทราบว่า LINE SDK รองรับบน web)</t>
  </si>
  <si>
    <t>โค้ดฝั่ง backend ใช้ผู้ใช้ไม่มีรหัสผ่านเหมือน Google จึงควรได้ผลจากบั๊กที่แก้ไปแล้วด้วย</t>
  </si>
  <si>
    <t>M-F01</t>
  </si>
  <si>
    <t>หน้า Home โหลดข้อมูลสรุป</t>
  </si>
  <si>
    <t>1. ล็อกอิน
2. ดูหน้า Home</t>
  </si>
  <si>
    <t>แสดงข้อมูลสรุป ไม่มี error และ spinner ไม่ค้าง</t>
  </si>
  <si>
    <t>frontend/e2e/tests/ui-flows.spec.ts (TC-UF-01)</t>
  </si>
  <si>
    <t>ทดสอบอัตโนมัติผ่านหน้าจอจริงบน localhost | ยอดรวม จำนวนหนี้ และยอดขั้นต่ำบน Home ตรงกับข้อมูลจริงใน API ไม่มี 4xx/5xx</t>
  </si>
  <si>
    <t>M-F02</t>
  </si>
  <si>
    <t>เพิ่มรายการรายรับ/รายจ่าย</t>
  </si>
  <si>
    <t>1. เปิดหน้าเพิ่มรายการ
2. เลือกหมวดหมู่ กรอกจำนวนเงิน
3. บันทึก</t>
  </si>
  <si>
    <t>บันทึกสำเร็จ รายการขึ้นในรายการธุรกรรม ยอดงบเปลี่ยนถูกต้อง</t>
  </si>
  <si>
    <t>frontend/e2e/tests/ui-flows.spec.ts (TC-UF-02)</t>
  </si>
  <si>
    <t>ทดสอบอัตโนมัติผ่านหน้าจอจริงบน localhost | เพิ่มรายจ่ายผ่าน dialog ได้ รายการและยอดงบอัปเดตถูกต้อง</t>
  </si>
  <si>
    <t>M-F03</t>
  </si>
  <si>
    <t>ดู/แก้ไขรายการธุรกรรม</t>
  </si>
  <si>
    <t>1. เปิดรายการธุรกรรม
2. เปิดรายละเอียด
3. แก้ไขหรือลบ</t>
  </si>
  <si>
    <t>ข้อมูลอัปเดตถูกต้อง ยอดรวมคำนวณใหม่</t>
  </si>
  <si>
    <t>frontend/e2e/tests/ui-flows.spec.ts (TC-UF-03)</t>
  </si>
  <si>
    <t>ทดสอบอัตโนมัติผ่านหน้าจอจริงบน localhost | เปิดรายการ ดูรายละเอียด แก้จำนวนเงินได้ งบปรับตามส่วนต่าง | พบและแก้บั๊ก 2 ข้อระหว่างทดสอบ (ดูชีต Bug ที่พบ ข้อ 15-16)</t>
  </si>
  <si>
    <t>M-F04</t>
  </si>
  <si>
    <t>ตั้งงบรายหมวดหมู่</t>
  </si>
  <si>
    <t>1. เปิดหน้างบประมาณ
2. แก้วงเงินของหมวด
3. บันทึก</t>
  </si>
  <si>
    <t>บันทึกได้ และแสดงในเดือนปัจจุบัน</t>
  </si>
  <si>
    <t>frontend/e2e/tests/ui-flows.spec.ts (TC-UF-04)</t>
  </si>
  <si>
    <t>ทดสอบอัตโนมัติผ่านหน้าจอจริงบน localhost | ตั้งวงเงินงบรายหมวดผ่านหน้าจอได้</t>
  </si>
  <si>
    <t>M-F05</t>
  </si>
  <si>
    <t>เพิ่มหนี้</t>
  </si>
  <si>
    <t>1. เปิดหน้าเพิ่มหนี้
2. กรอกข้อมูลหนี้ให้ครบ
3. บันทึก</t>
  </si>
  <si>
    <t>หนี้ขึ้นในรายการหนี้ ข้อมูลตรงกับที่กรอก</t>
  </si>
  <si>
    <t>frontend/e2e/tests/ui-flows.spec.ts (TC-UF-05)</t>
  </si>
  <si>
    <t>ทดสอบอัตโนมัติผ่านหน้าจอจริงบน localhost | ฟอร์ม 3 ขั้นสร้างหนี้ได้ ข้อมูลใน API ตรงกับที่กรอก</t>
  </si>
  <si>
    <t>M-F06</t>
  </si>
  <si>
    <t>แก้ไข/ดูรายละเอียดหนี้</t>
  </si>
  <si>
    <t>1. เปิดหนี้ที่มีอยู่
2. ดูรายละเอียดและแก้ไข</t>
  </si>
  <si>
    <t>ข้อมูลอัปเดตถูกต้อง</t>
  </si>
  <si>
    <t>frontend/e2e/tests/ui-flows.spec.ts (TC-UF-06)</t>
  </si>
  <si>
    <t>ทดสอบอัตโนมัติผ่านหน้าจอจริงบน localhost | แก้ชื่อหนี้และลบหนี้ที่ยังไม่เคยจ่ายผ่านเมนูการ์ดได้ | ลบหนี้ที่เคยจ่ายแล้วทำได้แล้วหลังแก้บั๊กข้อ 11 แต่แก้ไขเพื่อปิดการใช้งานหนี้ยังไม่ได้ (บั๊กข้อ 17)</t>
  </si>
  <si>
    <t>M-F07</t>
  </si>
  <si>
    <t>จ่ายหนี้</t>
  </si>
  <si>
    <t>1. เปิดหน้าจ่ายหนี้
2. กรอกจำนวนเงินและบันทึก</t>
  </si>
  <si>
    <t>ยอดหนี้คงเหลือลดลงถูกต้อง และมีประวัติการจ่าย</t>
  </si>
  <si>
    <t>frontend/e2e/tests/ui-flows.spec.ts (TC-UF-07)</t>
  </si>
  <si>
    <t>ทดสอบอัตโนมัติผ่านหน้าจอจริงบน localhost | จ่ายหนี้ผ่านหน้าจอได้ ยอดคงเหลือลดลง และมีประวัติการจ่าย</t>
  </si>
  <si>
    <t>M-F08</t>
  </si>
  <si>
    <t>Simulator กลยุทธ์การชำระหนี้</t>
  </si>
  <si>
    <t>1. เปิดหน้า Simulator
2. เลือกกลยุทธ์และกรอกงบต่อเดือน</t>
  </si>
  <si>
    <t>แสดงแผนและผลการคำนวณได้ ไม่ error</t>
  </si>
  <si>
    <t>frontend/e2e/tests/ui-flows.spec.ts (TC-UF-08)</t>
  </si>
  <si>
    <t>ทดสอบอัตโนมัติผ่านหน้าจอจริงบน localhost | ตั้งงบรายเดือน เลือกกลยุทธ์ จัดลำดับ แล้วไปถึงขั้นแสดงแผนได้</t>
  </si>
  <si>
    <t>M-F09</t>
  </si>
  <si>
    <t>หน้าแจ้งเตือน</t>
  </si>
  <si>
    <t>1. เปิดหน้าแจ้งเตือน</t>
  </si>
  <si>
    <t>แสดงรายการ/ว่างโดยไม่ error จำนวนที่ยังไม่อ่านถูกต้อง</t>
  </si>
  <si>
    <t>frontend/e2e/tests/ui-flows.spec.ts (TC-UF-09)</t>
  </si>
  <si>
    <t>ทดสอบอัตโนมัติผ่านหน้าจอจริงบน localhost | ผ่านเฉพาะการเปิดหน้าและสลับแท็บ ยังไม่ได้ทดสอบเนื้อหาการแจ้งเตือนจริง (ไม่มีข้อมูลให้ทดสอบ)</t>
  </si>
  <si>
    <t>M-F10</t>
  </si>
  <si>
    <t>อัปโหลดสลิป (OCR)</t>
  </si>
  <si>
    <t>1. เปิดหน้าอัปโหลดสลิป
2. เลือกรูปสลิปจริง</t>
  </si>
  <si>
    <t>อ่านจำนวนเงิน/ผู้รับได้ถูกต้องและบันทึกเป็นรายการ</t>
  </si>
  <si>
    <t>frontend/e2e/tests/ui-flows.spec.ts (TC-UF-10, TC-UF-10b)</t>
  </si>
  <si>
    <t>ส่วน API ผ่านแล้ว (อัปโหลดรูปที่ไม่ใช่สลิปได้ผลที่ไม่ใช่ 500) แต่ทางหน้าจอยังไม่ได้ทดสอบ: เลือกไฟล์ผ่านเมนู 'เลือกจากแกลเลอรี่' แล้วแอปไม่ส่งรูปไป backend และมี pageerror ทั่วไป 1 รายการ ยังไม่ทราบว่าเป็นบั๊กของแอปหรือข้อจำกัดของการทดสอบอัตโนมัติ ต้องทดสอบด้วยมือ (ใช้รูปสลิปจริงด้วย) | ยังไม่ได้ทดสอบการอ่านสลิปจริง</t>
  </si>
  <si>
    <t>M-F11</t>
  </si>
  <si>
    <t>ตั้งค่าผู้ใช้</t>
  </si>
  <si>
    <t>1. เปิดหน้าตั้งค่า
2. แก้ค่าและบันทึก
3. รีเฟรช</t>
  </si>
  <si>
    <t>ค่าที่บันทึกยังอยู่</t>
  </si>
  <si>
    <t>frontend/e2e/tests/ui-flows.spec.ts (TC-UF-11)</t>
  </si>
  <si>
    <t>ทดสอบอัตโนมัติผ่านหน้าจอจริงบน localhost | ผ่านเฉพาะการบันทึกเงินเดือน (ต้องยืนยันใน dialog) ยังไม่ได้ทดสอบเปิด/ปิดการแจ้งเตือนและเวลา</t>
  </si>
  <si>
    <t>M-F12</t>
  </si>
  <si>
    <t>ออกจากระบบ</t>
  </si>
  <si>
    <t>1. กดออกจากระบบ
2. กด Back ของเบราว์เซอร์</t>
  </si>
  <si>
    <t>กลับหน้า login และเข้าหน้าที่ต้องล็อกอินไม่ได้</t>
  </si>
  <si>
    <t>frontend/e2e/tests/ui-flows.spec.ts (TC-UF-12)</t>
  </si>
  <si>
    <t>ทดสอบอัตโนมัติผ่านหน้าจอจริงบน localhost | ออกจากระบบแล้วกลับหน้า login และรีเฟรชแล้วยังไม่เข้าระบบ</t>
  </si>
  <si>
    <t>M-X01</t>
  </si>
  <si>
    <t>Chrome (เวอร์ชันล่าสุด)</t>
  </si>
  <si>
    <t>1. ล็อกอิน Google
2. ไล่ใช้งานหลัก</t>
  </si>
  <si>
    <t>ใช้งานได้ปกติ</t>
  </si>
  <si>
    <t>M-X02</t>
  </si>
  <si>
    <t>Edge</t>
  </si>
  <si>
    <t>M-X03</t>
  </si>
  <si>
    <t>Firefox</t>
  </si>
  <si>
    <t>ใช้งานได้ปกติ (ปุ่ม Google และ popup ไม่ถูกบล็อก)</t>
  </si>
  <si>
    <t>M-X04</t>
  </si>
  <si>
    <t>มือถือจริง (Android/iOS)</t>
  </si>
  <si>
    <t>1. เปิดเว็บบนมือถือ
2. ล็อกอิน Google</t>
  </si>
  <si>
    <t>หน้าจอพอดี ปุ่มกดได้ ล็อกอินได้</t>
  </si>
  <si>
    <t>popup ของ Google อาจถูกบล็อกบนบางเบราว์เซอร์มือถือ</t>
  </si>
  <si>
    <t>M-X05</t>
  </si>
  <si>
    <t>ปุ่ม Google บนจอกว้าง (&gt; 400px)</t>
  </si>
  <si>
    <t>1. เปิดเว็บบน desktop
2. ลองกดตรงขอบซ้าย/ขวาของปุ่ม</t>
  </si>
  <si>
    <t>ปุ่มที่เห็นกดได้ทั้งแถบ (ปุ่ม Google จำกัด 400px)</t>
  </si>
  <si>
    <t>M-X06</t>
  </si>
  <si>
    <t>ภาษาไทยแสดงถูกต้อง</t>
  </si>
  <si>
    <t>1. ดูทุกหน้าหลัก</t>
  </si>
  <si>
    <t>ไม่มีตัวอักษรเป็นกล่อง ฟอนต์โหลดครบ</t>
  </si>
  <si>
    <t>ในเบราว์เซอร์ทดสอบของผมฟอนต์ไทยเคยแสดงเป็นกล่อง เพราะโหลดฟอนต์จากเน็ตไม่ได้ ควรเช็คบนเครื่องจริง</t>
  </si>
  <si>
    <t>BE-UT-08</t>
  </si>
  <si>
    <t>BrevoMailClient: ไม่เปิดใช้เมื่อไม่มี API key</t>
  </si>
  <si>
    <t>isEnabled() = false</t>
  </si>
  <si>
    <t>backend: BrevoMailClientTest.notEnabledWithoutApiKey</t>
  </si>
  <si>
    <t>ถ้าไม่ตั้ง BREVO_API_KEY ระบบกลับไปใช้ SMTP เดิม</t>
  </si>
  <si>
    <t>BE-UT-09</t>
  </si>
  <si>
    <t>BrevoMailClient: เปิดใช้เมื่อมี API key</t>
  </si>
  <si>
    <t>isEnabled() = true</t>
  </si>
  <si>
    <t>backend: BrevoMailClientTest.enabledWhenApiKeySet</t>
  </si>
  <si>
    <t>BE-UT-10</t>
  </si>
  <si>
    <t>BrevoMailClient: แจ้งชัดเจนเมื่อไม่ได้ตั้ง MAIL_FROM</t>
  </si>
  <si>
    <t>throw IllegalStateException ที่มีคำว่า MAIL_FROM</t>
  </si>
  <si>
    <t>backend: BrevoMailClientTest.sendFailsClearlyWhenSenderMissing</t>
  </si>
  <si>
    <t>M-E07</t>
  </si>
  <si>
    <t>ได้รับอีเมล OTP จริงหลังตั้ง Brevo</t>
  </si>
  <si>
    <t>1. ตั้ง BREVO_API_KEY และ MAIL_FROM บน Render แล้ว deploy
2. สมัครสมาชิกด้วยอีเมลจริงของคุณ
3. ดูกล่องจดหมาย (รวมถึง Spam)</t>
  </si>
  <si>
    <t>ได้รับอีเมลรหัส 6 หลักภายใน 1 นาที และกรอกแล้วผ่านการยืนยัน</t>
  </si>
  <si>
    <t>ก่อนหน้านี้ไม่ได้รับ OTP เพราะ Redis ต่อไม่ได้ และ Render ฟรีบล็อก SMTP (ดูชีต Bug ที่พบ ข้อ 8-9)</t>
  </si>
  <si>
    <t>TC-EM-01</t>
  </si>
  <si>
    <t>ล็อกอินด้วยอีเมล/รหัสผ่านที่ถูกต้อง (บัญชีที่ยืนยันแล้ว)</t>
  </si>
  <si>
    <t>POST /api/auth/login ด้วยบัญชีทดสอบ</t>
  </si>
  <si>
    <t>HTTP 200 ได้ accessToken และ refreshToken เป็น JWT ที่ไม่เหมือนกัน</t>
  </si>
  <si>
    <t>frontend/e2e/tests/account.spec.ts</t>
  </si>
  <si>
    <t>ผ่านบน stack ในเครื่อง (localhost: backend + Postgres + Redis + หน้าเว็บ) ด้วยบัญชีทดสอบที่สร้างขึ้นเอง ไม่ได้รันบน production</t>
  </si>
  <si>
    <t>TC-EM-02</t>
  </si>
  <si>
    <t>ล็อกอินแล้วเรียก API ที่ต้องมี token (4 endpoint)</t>
  </si>
  <si>
    <t>ล็อกอิน แล้ว GET /api/debts, /categories, /debt-types, /repayment-types ด้วย access token</t>
  </si>
  <si>
    <t>HTTP 200 ทุกอัน (ไม่ใช่ 401 หรือ 403 Email not verified)</t>
  </si>
  <si>
    <t>TC-EM-03</t>
  </si>
  <si>
    <t>refresh token ขอ access token ใหม่</t>
  </si>
  <si>
    <t>ล็อกอิน แล้ว POST /api/auth/refresh-token ด้วย refresh token แล้วเอา access token ใหม่ไปเรียก /api/debts</t>
  </si>
  <si>
    <t>HTTP 200 และ access token ใหม่ใช้เรียก API ได้</t>
  </si>
  <si>
    <t>TC-EM-04</t>
  </si>
  <si>
    <t>เอา refresh token ไปเรียก API ตรง ๆ</t>
  </si>
  <si>
    <t>GET /api/debts โดยส่ง refresh token เป็น Bearer</t>
  </si>
  <si>
    <t>ถูกปฏิเสธ (4xx ไม่ใช่ 200)</t>
  </si>
  <si>
    <t>TC-EM-05</t>
  </si>
  <si>
    <t>อีเมลถูกแต่รหัสผ่านผิด</t>
  </si>
  <si>
    <t>POST /api/auth/login ด้วยอีเมลของบัญชีทดสอบและรหัสผ่านที่ตั้งใจให้ผิด</t>
  </si>
  <si>
    <t>ผ่านทั้งบน production และบน localhost (ไม่ต้องใช้รหัสผ่านจริง)</t>
  </si>
  <si>
    <t>TC-EM-06</t>
  </si>
  <si>
    <t>ล็อกอินผ่านหน้าเว็บด้วยบัญชีที่ยืนยันแล้ว แล้วเข้า Home</t>
  </si>
  <si>
    <t>1. เปิดเว็บ
2. กรอกอีเมล/รหัสผ่านบัญชีทดสอบ
3. กดเข้าสู่ระบบ</t>
  </si>
  <si>
    <t>เห็นหน้า Home (ภาพรวมหนี้สิน) และไม่มี request ไป backend ที่ตอบ 4xx/5xx</t>
  </si>
  <si>
    <t>ผ่านบน stack ในเครื่อง (localhost: backend + Postgres + Redis + หน้าเว็บ) ด้วยบัญชีทดสอบที่สร้างขึ้นเอง ไม่ได้รันบน production | selector ของหน้า Home ใช้งานได้จริง</t>
  </si>
  <si>
    <t>TC-EM-07</t>
  </si>
  <si>
    <t>รีเฟรชหน้า (F5) แล้วยังอยู่ในระบบ</t>
  </si>
  <si>
    <t>1. ล็อกอินผ่านหน้าเว็บ
2. กด F5</t>
  </si>
  <si>
    <t>ยังเห็นหน้า Home ไม่ถูกเด้งกลับหน้า login</t>
  </si>
  <si>
    <t>ผ่านบน stack ในเครื่อง (localhost: backend + Postgres + Redis + หน้าเว็บ) ด้วยบัญชีทดสอบที่สร้างขึ้นเอง ไม่ได้รันบน production | รีเฟรชแล้วยังอยู่ในระบบ</t>
  </si>
  <si>
    <t>TC-EM-08</t>
  </si>
  <si>
    <t>สลับแท็บล่าง (สแกน OCR / งบประมาณ / ตั้งค่า / หน้าหลัก)</t>
  </si>
  <si>
    <t>1. ล็อกอิน
2. กดแท็บล่างทีละแท็บ</t>
  </si>
  <si>
    <t>แต่ละแท็บเปิดได้ และไม่มี request ไป backend ที่ตอบ 4xx/5xx</t>
  </si>
  <si>
    <t>ผ่านบน stack ในเครื่อง (localhost: backend + Postgres + Redis + หน้าเว็บ) ด้วยบัญชีทดสอบที่สร้างขึ้นเอง ไม่ได้รันบน production | สลับ 4 แท็บแล้วไม่มี 4xx/5xx</t>
  </si>
  <si>
    <t>TC-FT-01</t>
  </si>
  <si>
    <t>ผู้ใช้ใหม่มีหมวดหมู่เริ่มต้น</t>
  </si>
  <si>
    <t>GET /api/categories</t>
  </si>
  <si>
    <t>รายรับ 2 และรายจ่าย 8 หมวด ทุกหมวดมีงบ</t>
  </si>
  <si>
    <t>frontend/e2e/tests/features.spec.ts</t>
  </si>
  <si>
    <t>รันบน stack ในเครื่อง (localhost) เพราะสร้าง/แก้/ลบข้อมูล ไม่ได้รันบน production</t>
  </si>
  <si>
    <t>TC-FT-02</t>
  </si>
  <si>
    <t>เพิ่ม แก้ไข ลบหมวดหมู่ของตัวเอง</t>
  </si>
  <si>
    <t>POST/PUT/DELETE /api/categories</t>
  </si>
  <si>
    <t>ทำได้ครบ และหมวดที่ลบหายจากรายการ</t>
  </si>
  <si>
    <t>รันบน stack ในเครื่อง (localhost) เพราะสร้าง/แก้/ลบข้อมูล ไม่ได้รันบน production | เคยตกด้วย 500 (null month) แก้แล้ว commit 4102b66 ยังไม่ได้ยืนยันบน production หลัง deploy</t>
  </si>
  <si>
    <t>TC-FT-03</t>
  </si>
  <si>
    <t>สร้างหมวดหมู่โดยไม่ใส่ชื่อ/ประเภท</t>
  </si>
  <si>
    <t>POST /api/categories ด้วยข้อมูลไม่ครบ</t>
  </si>
  <si>
    <t>HTTP 400</t>
  </si>
  <si>
    <t>TC-FT-04</t>
  </si>
  <si>
    <t>งบประมาณเดือนปัจจุบันครบทุกหมวด</t>
  </si>
  <si>
    <t>GET /api/budget และ /budget/overview</t>
  </si>
  <si>
    <t>ทุกงบเป็นเดือน/ปีปัจจุบัน วงเงินมากกว่า 0</t>
  </si>
  <si>
    <t>TC-FT-05</t>
  </si>
  <si>
    <t>ตั้งวงเงินของงบ</t>
  </si>
  <si>
    <t>PUT /api/budget/{id}/amount/{n}</t>
  </si>
  <si>
    <t>วงเงิน (limitBudget) เปลี่ยนตามที่ตั้ง ยอดที่ใช้ไปไม่เปลี่ยน</t>
  </si>
  <si>
    <t>รันบน stack ในเครื่อง (localhost) เพราะสร้าง/แก้/ลบข้อมูล ไม่ได้รันบน production | ชื่อ path ว่า amount แต่ตั้งวงเงิน (limitBudget) ซึ่งอาจสับสน</t>
  </si>
  <si>
    <t>TC-FT-06</t>
  </si>
  <si>
    <t>ตั้งและอ่านเงินเดือน</t>
  </si>
  <si>
    <t>POST/GET /api/budget/salary</t>
  </si>
  <si>
    <t>อ่านกลับได้ค่าที่ตั้ง</t>
  </si>
  <si>
    <t>TC-FT-07</t>
  </si>
  <si>
    <t>rollover งบรายเดือนเรียกซ้ำไม่สร้างซ้ำ</t>
  </si>
  <si>
    <t>GET /api/budget/reset-budget สองครั้ง</t>
  </si>
  <si>
    <t>จำนวนงบไม่เพิ่ม</t>
  </si>
  <si>
    <t>รันบน stack ในเครื่อง (localhost) เพราะสร้าง/แก้/ลบข้อมูล ไม่ได้รันบน production | ข้อสังเกตด้านความปลอดภัย: ผู้ใช้ทั่วไปสั่ง rollover ของผู้ใช้ทุกคนได้ (ดู Bug ที่พบ)</t>
  </si>
  <si>
    <t>TC-FT-08</t>
  </si>
  <si>
    <t>เพิ่ม แก้ไข ลบรายการรายจ่าย</t>
  </si>
  <si>
    <t>POST/PUT/DELETE /api/transactions</t>
  </si>
  <si>
    <t>รายการขึ้นในลิสต์ และยอดรายจ่ายประจำเดือนเปลี่ยนตาม</t>
  </si>
  <si>
    <t>TC-FT-09</t>
  </si>
  <si>
    <t>ธุรกรรมแบ่งหน้าตามหมวดหมู่</t>
  </si>
  <si>
    <t>GET /api/transactions/category/{id}?page=0&amp;size=5</t>
  </si>
  <si>
    <t>ได้ content และ page.size = 5</t>
  </si>
  <si>
    <t>TC-FT-10</t>
  </si>
  <si>
    <t>ธุรกรรมที่ข้อมูลไม่ถูกต้องถูกปฏิเสธ</t>
  </si>
  <si>
    <t>จำนวน 0 / ติดลบ / วันที่อนาคต / ไม่มีหมวด</t>
  </si>
  <si>
    <t>HTTP 400 ทุกกรณี</t>
  </si>
  <si>
    <t>TC-FT-11</t>
  </si>
  <si>
    <t>เพิ่มหนี้ ดูรายการ รายละเอียด สรุป ประวัติ</t>
  </si>
  <si>
    <t>POST /api/debts แล้ว GET list/detail/summary/history</t>
  </si>
  <si>
    <t>หนี้ขึ้นในรายการ ประวัติว่าง</t>
  </si>
  <si>
    <t>TC-FT-12</t>
  </si>
  <si>
    <t>หนี้ที่ข้อมูลไม่ถูกต้องถูกปฏิเสธ</t>
  </si>
  <si>
    <t>ไม่มีชื่อ / ดอกเบี้ยติดลบ / dueDay 40 / เงินต้นติดลบ</t>
  </si>
  <si>
    <t>TC-FT-13</t>
  </si>
  <si>
    <t>แก้ไขหนี้และลบหนี้ที่ยังไม่เคยจ่าย</t>
  </si>
  <si>
    <t>PUT แล้ว DELETE /api/debts/{id}</t>
  </si>
  <si>
    <t>แก้ได้ ลบแล้วหายจากรายการ</t>
  </si>
  <si>
    <t>TC-FT-14</t>
  </si>
  <si>
    <t>จ่ายหนี้แล้วยอดคงเหลือลดลง</t>
  </si>
  <si>
    <t>POST /api/debts/pays ด้วย 500</t>
  </si>
  <si>
    <t>เงินต้นคงเหลือลด 500 มีแถวประวัติยอดรวม 1 แถว</t>
  </si>
  <si>
    <t>รันบน stack ในเครื่อง (localhost) เพราะสร้าง/แก้/ลบข้อมูล ไม่ได้รันบน production | การจ่าย 1 ครั้งบันทึกหลายแถว (PAYMENT + PRINCIPAL_PAYMENT) ตามการออกแบบ</t>
  </si>
  <si>
    <t>TC-FT-15</t>
  </si>
  <si>
    <t>จ่ายหนี้ด้วยข้อมูลไม่ถูกต้อง</t>
  </si>
  <si>
    <t>จำนวน 0 / ติดลบ / หนี้ที่ไม่มีอยู่</t>
  </si>
  <si>
    <t>ถูกปฏิเสธ (4xx ไม่ใช่ 500)</t>
  </si>
  <si>
    <t>TC-FT-16</t>
  </si>
  <si>
    <t>ผู้ใช้อื่นอ่าน/แก้/ลบหนี้ของเราไม่ได้</t>
  </si>
  <si>
    <t>ใช้ token ของผู้ใช้อีกคนเรียกหนี้ของเรา</t>
  </si>
  <si>
    <t>ถูกปฏิเสธทุกการกระทำ และข้อมูลไม่เปลี่ยน</t>
  </si>
  <si>
    <t>TC-FT-17</t>
  </si>
  <si>
    <t>จำลองแผนชำระหนี้จากหนี้ 2 รายการ</t>
  </si>
  <si>
    <t>POST /api/repayment-plans แล้ว GET จำลองผล และ priority-suggestion</t>
  </si>
  <si>
    <t>สร้างแผนได้ ได้ผลจำลอง และคำแนะนำลำดับ</t>
  </si>
  <si>
    <t>รันบน stack ในเครื่อง (localhost) เพราะสร้าง/แก้/ลบข้อมูล ไม่ได้รันบน production | ข้อมูลทดสอบต้องตั้งดอกเบี้ยเป็นต่อปี (YEARLY) ถ้าเป็น MONTHLY แผนจะเกิน 50 ปีและตอบ 400 ซึ่งถูกต้องตามตรรกะ</t>
  </si>
  <si>
    <t>TC-FT-18</t>
  </si>
  <si>
    <t>จับคู่ผู้รับเงินกับหมวดหมู่</t>
  </si>
  <si>
    <t>POST/GET/DELETE /api/receiver-mappings</t>
  </si>
  <si>
    <t>บันทึกและลบได้</t>
  </si>
  <si>
    <t>TC-FT-19</t>
  </si>
  <si>
    <t>การแจ้งเตือน</t>
  </si>
  <si>
    <t>GET logs / unread-count / my-devices</t>
  </si>
  <si>
    <t>ตอบ 200 และจำนวนที่ยังไม่อ่านไม่ติดลบ</t>
  </si>
  <si>
    <t>TC-FT-20</t>
  </si>
  <si>
    <t>API ที่แก้ข้อมูลปฏิเสธเมื่อไม่มี token</t>
  </si>
  <si>
    <t>POST ไปที่ 8 endpoint โดยไม่มี token</t>
  </si>
  <si>
    <t>TC-FT-21</t>
  </si>
  <si>
    <t>ลบหนี้ที่เคยจ่ายแล้ว ลบสำเร็จพร้อมประวัติ และการจับคู่ผู้รับเงินไม่ชี้หนี้ที่หาย</t>
  </si>
  <si>
    <t>สร้างหนี้ จ่าย 100 สร้างการจับคู่ผู้รับเงินที่ผูกหนี้ แล้ว DELETE /api/debts/{id}</t>
  </si>
  <si>
    <t>ลบสำเร็จ หนี้และประวัติหาย การจับคู่ที่มีหมวดหมู่ยังอยู่แต่ไม่ชี้หนี้ที่ถูกลบ</t>
  </si>
  <si>
    <t>รันบน stack ในเครื่อง (localhost) | เคยไม่ผ่าน: ลบหนี้ที่เคยจ่ายแล้วได้ 500 (ผิด foreign key) แก้แล้ว commit c1744f9 และยืนยันว่าหนี้ค้าง 3 รายการที่เคยลบไม่ได้ ลบได้แล้ว (200)</t>
  </si>
  <si>
    <t>TC-FT-22</t>
  </si>
  <si>
    <t>ผู้ใช้อื่นอ่านธุรกรรม / แก้ลบข้อมูลของเราไม่ได้</t>
  </si>
  <si>
    <t>ใช้ token ผู้ใช้อีกคนเรียกธุรกรรมและหมวดหมู่ของเรา</t>
  </si>
  <si>
    <t>ไม่เห็นข้อมูล และแก้/ลบไม่ได้</t>
  </si>
  <si>
    <t>TC-FT-30</t>
  </si>
  <si>
    <t>เปิดเมนูลัดบนหน้า Home (4 เมนู)</t>
  </si>
  <si>
    <t>ล็อกอิน แล้วกด สร้างหนี้ / กลยุทธ์ชำระ / ดูแผนของคุณ / ชำระหนี้</t>
  </si>
  <si>
    <t>หน้าจอเปลี่ยน ไม่มี error และ API ไม่ตอบ 4xx/5xx</t>
  </si>
  <si>
    <t>frontend/e2e/tests/ui-features.spec.ts</t>
  </si>
  <si>
    <t>รันบน stack ในเครื่อง (localhost) เพราะสร้าง/แก้/ลบข้อมูล ไม่ได้รันบน production | ตรวจแค่ว่าเปิดหน้าได้และไม่มี error ยังไม่ได้ทดสอบการกรอกฟอร์มผ่านหน้าจอ (ดูเคส M-F05, M-F07)</t>
  </si>
  <si>
    <t>TC-UF-01</t>
  </si>
  <si>
    <t>Home แสดงสรุปหนี้ตรงกับข้อมูลจริง</t>
  </si>
  <si>
    <t>สร้างหนี้ผ่าน API แล้วล็อกอินดู Home</t>
  </si>
  <si>
    <t>ยอดคงเหลือรวม จำนวนรายการ ยอดขั้นต่ำรวมตรงกับ API</t>
  </si>
  <si>
    <t>frontend/e2e/tests/ui-flows.spec.ts</t>
  </si>
  <si>
    <t>รันบน stack ในเครื่อง (localhost) สร้าง/แก้/ลบข้อมูลจริง ไม่ได้รันบน production</t>
  </si>
  <si>
    <t>TC-UF-02</t>
  </si>
  <si>
    <t>เพิ่มรายจ่ายผ่านหน้าจอ</t>
  </si>
  <si>
    <t>งบประมาณ &gt; ปุ่ม FAB &gt; เพิ่มรายการใหม่ &gt; กรอกจำนวนและคำอธิบาย &gt; บันทึก</t>
  </si>
  <si>
    <t>รายการถูกสร้าง ยอดงบ Food เพิ่มตามจำนวน</t>
  </si>
  <si>
    <t>TC-UF-03</t>
  </si>
  <si>
    <t>ดูและแก้ไขรายการธุรกรรมผ่านหน้าจอ</t>
  </si>
  <si>
    <t>งบประมาณ &gt; FAB &gt; ดูรายการทั้งหมด &gt; เลือกรายการ &gt; Edit Transaction &gt; แก้จำนวน &gt; บันทึก</t>
  </si>
  <si>
    <t>แก้ได้ หมวดและประเภทไม่ถูกเปลี่ยน งบปรับตามส่วนต่าง</t>
  </si>
  <si>
    <t>รันบน stack ในเครื่อง (localhost) สร้าง/แก้/ลบข้อมูลจริง ไม่ได้รันบน production | เคยพบหน้าแก้ไขเลือกหมวดผิดเป็นรายรับ แก้แล้ว (commit 1979b0c)</t>
  </si>
  <si>
    <t>TC-UF-04</t>
  </si>
  <si>
    <t>ตั้งวงเงินงบรายหมวดผ่านหน้าจอ</t>
  </si>
  <si>
    <t>งบประมาณ &gt; แก้ไข ของหมวด &gt; ใส่วงเงิน &gt; บันทึก</t>
  </si>
  <si>
    <t>วงเงินใน API เปลี่ยนตามที่ตั้ง</t>
  </si>
  <si>
    <t>TC-UF-05</t>
  </si>
  <si>
    <t>สร้างหนี้ผ่านฟอร์ม 3 ขั้น</t>
  </si>
  <si>
    <t>สร้างหนี้ &gt; กรอกชื่อ &gt; กรอกเงินต้น ดอกเบี้ย ขั้นต่ำ &gt; กรอกวันครบกำหนด &gt; สร้างรายการหนี้</t>
  </si>
  <si>
    <t>หนี้ถูกสร้างตามข้อมูลที่กรอก และ Home นับจำนวนรายการ</t>
  </si>
  <si>
    <t>TC-UF-06</t>
  </si>
  <si>
    <t>แก้ไขชื่อหนี้และลบหนี้ผ่านเมนูการ์ด</t>
  </si>
  <si>
    <t>Home &gt; เมนูการ์ดหนี้ &gt; แก้ไข &gt; เปลี่ยนชื่อ &gt; บันทึก แล้ว เมนู &gt; ลบ</t>
  </si>
  <si>
    <t>ชื่อเปลี่ยน และหนี้ที่ยังไม่เคยจ่ายถูกลบ</t>
  </si>
  <si>
    <t>รันบน stack ในเครื่อง (localhost) สร้าง/แก้/ลบข้อมูลจริง ไม่ได้รันบน production | ลบหนี้ที่เคยจ่ายแล้วทำได้แล้ว (แก้บั๊กข้อ 11) | ตำแหน่งปุ่ม แก้ไข/ลบ ใน popup ใช้การคลิกตามพิกัด เพราะไม่อยู่ใน accessibility tree</t>
  </si>
  <si>
    <t>TC-UF-07</t>
  </si>
  <si>
    <t>จ่ายหนี้ผ่านหน้าจอ</t>
  </si>
  <si>
    <t>ชำระหนี้ &gt; เลือกหนี้ &gt; ใส่จำนวน 1000 &gt; ชำระเงิน</t>
  </si>
  <si>
    <t>ยอดคงเหลือลด และมีประวัติ PAYMENT 1000</t>
  </si>
  <si>
    <t>TC-UF-08</t>
  </si>
  <si>
    <t>เลือกกลยุทธ์และสร้างแผนชำระหนี้</t>
  </si>
  <si>
    <t>กลยุทธ์ชำระ &gt; ใส่งบรายเดือน &gt; ถัดไป &gt; ดูแผนการชำระหนี้</t>
  </si>
  <si>
    <t>ไปถึงขั้นตอนที่ 3 และ API คืนแผน</t>
  </si>
  <si>
    <t>TC-UF-09</t>
  </si>
  <si>
    <t>หน้าการแจ้งเตือนและแท็บ</t>
  </si>
  <si>
    <t>กดกระดิ่ง &gt; สลับแท็บ ทั้งหมด/งบประมาณ/หนี้สิน</t>
  </si>
  <si>
    <t>เปิดได้ ไม่มี error</t>
  </si>
  <si>
    <t>TC-UF-10</t>
  </si>
  <si>
    <t>อัปโหลดรูปที่ไม่ใช่สลิปทาง API</t>
  </si>
  <si>
    <t>POST /api/slips/upload ด้วยรูปข้อความธรรมดา</t>
  </si>
  <si>
    <t>ผลที่ไม่ใช่ 500</t>
  </si>
  <si>
    <t>รันบน stack ในเครื่อง (localhost) สร้าง/แก้/ลบข้อมูลจริง ไม่ได้รันบน production | ใช้ OCR และ MinIO ใน Docker ของเครื่อง</t>
  </si>
  <si>
    <t>TC-UF-10b</t>
  </si>
  <si>
    <t>อัปโหลดรูปที่ไม่ใช่สลิปผ่านหน้าสแกน</t>
  </si>
  <si>
    <t>สแกน OCR &gt; แตะอัปโหลด &gt; เลือกจากแกลเลอรี่ &gt; เลือกไฟล์</t>
  </si>
  <si>
    <t>แอปส่งรูปไป backend และแจ้งผล</t>
  </si>
  <si>
    <t>รันบน stack ในเครื่อง (localhost) สร้าง/แก้/ลบข้อมูลจริง ไม่ได้รันบน production | ทำเครื่องหมาย fixme: เลือกไฟล์แล้วไม่มี request ออกไป และมี pageerror ทั่วไป ยังไม่ทราบสาเหตุ ต้องทดสอบด้วยมือ</t>
  </si>
  <si>
    <t>TC-UF-11</t>
  </si>
  <si>
    <t>บันทึกเงินเดือนในหน้าตั้งค่า</t>
  </si>
  <si>
    <t>ตั้งค่า &gt; ใส่เงินเดือน &gt; บันทึกการตั้งค่า &gt; ยืนยัน</t>
  </si>
  <si>
    <t>API เงินเดือนเปลี่ยนตามที่กรอก</t>
  </si>
  <si>
    <t>TC-UF-12</t>
  </si>
  <si>
    <t>ตั้งค่า &gt; ออกจากระบบ &gt; รีเฟรชหน้า</t>
  </si>
  <si>
    <t>กลับหน้า login และรีเฟรชแล้วยังไม่เข้าระบบ</t>
  </si>
  <si>
    <t>TC-FT-23</t>
  </si>
  <si>
    <t>ยอด 'ใช้ไป' ของงบตรงกับธุรกรรมหลังเพิ่ม แก้ไข ลบ</t>
  </si>
  <si>
    <t>POST แล้ว PUT 100 &gt; 150 แล้ว DELETE ผ่าน API</t>
  </si>
  <si>
    <t>ยอดใช้ไป = ฐาน+100, ฐาน+150, ฐาน</t>
  </si>
  <si>
    <t>รันบน stack ในเครื่อง (localhost) สร้าง/แก้/ลบข้อมูลจริง ไม่ได้รันบน production | เคยพบยอดเพี้ยน (+250 หลังแก้) แก้แล้ว commit b4286b6</t>
  </si>
  <si>
    <t>BE-UT-11</t>
  </si>
  <si>
    <t>สร้างหมวดหมู่ใหม่ ต้องมีเดือน/ปีในงบ</t>
  </si>
  <si>
    <t>backend: CategoryServiceTest.testCreateCategory_BudgetHasMonthAndYear</t>
  </si>
  <si>
    <t>BE-UT-12</t>
  </si>
  <si>
    <t>แก้ธุรกรรมในหมวดเดิม งบเปลี่ยนตามส่วนต่าง</t>
  </si>
  <si>
    <t>backend: TransactionServiceTest.testUpdateTransaction_SameCategory_BudgetChangesByTheDifference</t>
  </si>
  <si>
    <t>BE-UT-13</t>
  </si>
  <si>
    <t>ย้ายธุรกรรมไปหมวดอื่น ยอดย้ายระหว่างงบ</t>
  </si>
  <si>
    <t>backend: TransactionServiceTest.testUpdateTransaction_MovedToAnotherCategory_MovesTheAmountBetweenBudgets</t>
  </si>
  <si>
    <t>BE-UT-14</t>
  </si>
  <si>
    <t>ธุรกรรมที่ตอบกลับมี categoryId</t>
  </si>
  <si>
    <t>backend: TransactionServiceTest.testMapToResponse_IncludesCategoryId</t>
  </si>
  <si>
    <t>BE-UT-15</t>
  </si>
  <si>
    <t>ลบหนี้ ต้องลบประวัติและใบแจ้งยอดก่อนลบหนี้ (กัน foreign key พัง)</t>
  </si>
  <si>
    <t>backend: DebtServiceTest.testDeleteDebt_Success</t>
  </si>
  <si>
    <t>เคส DebtServiceTest เดิมที่เคยตก (testAddDebt_Success, testDeleteDebt_Success) ผ่านแล้วหลังเพิ่ม mock ที่ขาด</t>
  </si>
  <si>
    <t>BE-UT-16</t>
  </si>
  <si>
    <t>ลบหนี้ การจับคู่ผู้รับเงินที่มีหมวดหมู่ยังอยู่แต่ไม่ชี้หนี้ ส่วนที่ไม่มีหมวดถูกลบ</t>
  </si>
  <si>
    <t>backend: DebtServiceTest.testDeleteDebt_ReceiverMappings_KeepCategoryOnesAndDropTheRest</t>
  </si>
  <si>
    <t>BE-UT-17</t>
  </si>
  <si>
    <t>ลบหนี้ที่ไม่พบ ต้องไม่ลบอะไรเลย</t>
  </si>
  <si>
    <t>backend: DebtServiceTest.testDeleteDebt_NotFound_DeletesNothing</t>
  </si>
  <si>
    <t>#</t>
  </si>
  <si>
    <t>อาการ</t>
  </si>
  <si>
    <t>สาเหตุ</t>
  </si>
  <si>
    <t>วิธีแก้</t>
  </si>
  <si>
    <t>Commit</t>
  </si>
  <si>
    <t>เทสต์ที่ครอบคลุม</t>
  </si>
  <si>
    <t>1</t>
  </si>
  <si>
    <t>Google ขึ้น 400 origin_mismatch</t>
  </si>
  <si>
    <t>origin ของเว็บ (localhost / github.io) ไม่อยู่ใน Authorized JavaScript origins ของ OAuth client</t>
  </si>
  <si>
    <t>เพิ่ม https://c3b22.github.io (และ localhost:5000) ใน Web client 756271…vpmo ที่ Google Cloud Console</t>
  </si>
  <si>
    <t>แก้แล้ว</t>
  </si>
  <si>
    <t>(ตั้งค่า Google Cloud)</t>
  </si>
  <si>
    <t>2</t>
  </si>
  <si>
    <t>401 Invalid ID token หลังเลือกบัญชี Google</t>
  </si>
  <si>
    <t>frontend, backend และ Firebase ใช้ Google client ID คนละตัว จึงไม่ตรง audience</t>
  </si>
  <si>
    <t>ใช้ Web client ID 756271…vpmo ตัวเดียวทั้งหมด และอ่านค่าจาก config / env GOOGLE_CLIENT_ID</t>
  </si>
  <si>
    <t>7c888ff</t>
  </si>
  <si>
    <t>3</t>
  </si>
  <si>
    <t>Render deploy ล้ม (Port scan timeout)</t>
  </si>
  <si>
    <t>แอปบูตช้าเกินบนแพลนฟรี</t>
  </si>
  <si>
    <t>เติม -XX:TieredStopAtLevel=1 ใน JAVA_TOOL_OPTIONS และตั้ง SPRING_JPA_HIBERNATE_DDL_AUTO=none</t>
  </si>
  <si>
    <t>ebce29a</t>
  </si>
  <si>
    <t>4</t>
  </si>
  <si>
    <t>500 null value in column month (budget_per_month)</t>
  </si>
  <si>
    <t>งบเริ่มต้นของผู้ใช้ใหม่ไม่ได้ใส่ month/year</t>
  </si>
  <si>
    <t>ใส่เดือน/ปีปัจจุบัน (เวลา Asia/Bangkok) ตอนสร้างงบเริ่มต้น</t>
  </si>
  <si>
    <t>4c76d69</t>
  </si>
  <si>
    <t>BE-UT-05, M-G01</t>
  </si>
  <si>
    <t>5</t>
  </si>
  <si>
    <t>401 ทุก request หลังล็อกอินด้วย Google (แอปเด้งกลับ login)</t>
  </si>
  <si>
    <t>ผู้ใช้ Google ไม่มีรหัสผ่าน แต่ Spring User รับ password เป็น null ไม่ได้</t>
  </si>
  <si>
    <t>ใช้สตริงว่างแทน null ใน loadUserByUsername</t>
  </si>
  <si>
    <t>eac98f0</t>
  </si>
  <si>
    <t>BE-UT-04, TC-AUTH-01, M-G04</t>
  </si>
  <si>
    <t>6</t>
  </si>
  <si>
    <t>500 เมื่อส่ง idToken ที่ไม่ใช่ JWT หรือไม่ส่งมา</t>
  </si>
  <si>
    <t>verify(String) throw แล้วถูก catch กลายเป็น 500</t>
  </si>
  <si>
    <t>parse token ก่อนและตอบ 401 เมื่อ null/ว่าง/ผิดรูปแบบ</t>
  </si>
  <si>
    <t>2959510</t>
  </si>
  <si>
    <t>TC-API-06, TC-API-07, TC-API-09, BE-UT-01..03</t>
  </si>
  <si>
    <t>7</t>
  </si>
  <si>
    <t>ปุ่ม Google เปลี่ยนฟอนต์ไม่ได้</t>
  </si>
  <si>
    <t>ปุ่มของ Google render ใน iframe ข้าม origin</t>
  </si>
  <si>
    <t>วางปุ่มของเราไว้ข้างล่าง และซ้อนปุ่ม Google แบบโปร่งใสไว้ข้างบน</t>
  </si>
  <si>
    <t>(frontend)</t>
  </si>
  <si>
    <t>TC-GG-01, M-X05</t>
  </si>
  <si>
    <t>8</t>
  </si>
  <si>
    <t>สมัครอีเมลแล้วไม่ได้รับรหัส OTP (หน้า ยืนยันอีเมลของคุณ)</t>
  </si>
  <si>
    <t>RedisConfig สร้าง connection ด้วย host/port เท่านั้น ไม่ส่งรหัสผ่านและ TLS ทั้งที่ตั้งไว้ใน env จึงต่อ Upstash ไม่ได้ (Connection closed prematurely) บันทึก OTP ไม่ได้</t>
  </si>
  <si>
    <t>ให้ RedisConfig อ่าน spring.data.redis.password และ ssl.enabled</t>
  </si>
  <si>
    <t>ba61620</t>
  </si>
  <si>
    <t>9</t>
  </si>
  <si>
    <t>ยังส่งอีเมล OTP ไม่ได้หลังแก้ Redis (Couldn't connect to host smtp.gmail.com:587)</t>
  </si>
  <si>
    <t>Render แพลนฟรีบล็อกการเชื่อมต่อ SMTP ขาออก (25/465/587) และเดิมไม่ตั้ง timeout จึงค้างราว 100 วินาที</t>
  </si>
  <si>
    <t>ใส่ SMTP timeout 10 วินาที (5ed70c2) และเพิ่มการส่งผ่าน Brevo HTTP API (9ac29ad) ต้องตั้ง BREVO_API_KEY + MAIL_FROM บน Render เอง</t>
  </si>
  <si>
    <t>รอตั้งค่า</t>
  </si>
  <si>
    <t>5ed70c2, 9ac29ad</t>
  </si>
  <si>
    <t>BE-UT-08..10, M-E07</t>
  </si>
  <si>
    <t>10</t>
  </si>
  <si>
    <t>เพิ่มหมวดหมู่ใหม่ได้ 500 (null value in column month)</t>
  </si>
  <si>
    <t>CategoryService.createCategory สร้างงบโดยไม่ใส่เดือน/ปี เป็นบั๊กเดียวกับข้อ 4 แต่อยู่อีกจุด เทสต์เดิมตรวจแค่ว่ามีการเรียก createBudget จึงไม่เห็น</t>
  </si>
  <si>
    <t>ใส่เดือน/ปีปัจจุบัน (Asia/Bangkok) และเพิ่ม unit test ที่ตรวจค่าจริง</t>
  </si>
  <si>
    <t>แก้แล้ว (push แล้ว)</t>
  </si>
  <si>
    <t>4102b66</t>
  </si>
  <si>
    <t>TC-FT-02, CategoryServiceTest</t>
  </si>
  <si>
    <t>11</t>
  </si>
  <si>
    <t>ลบหนี้ที่เคยจ่ายแล้วได้ 500 (foreign key กับ debt_transactions)</t>
  </si>
  <si>
    <t>ตาราง debt_transactions อ้างอิง debt แต่โค้ดลบ debt โดยไม่จัดการประวัติ</t>
  </si>
  <si>
    <t>ลบข้อมูลที่ผูกกับหนี้ก่อน (ประวัติการจ่าย ใบแจ้งยอด) และเอาหนี้ออกจากการจับคู่ผู้รับเงิน ทั้งหมดใน transaction เดียว แล้วค่อยลบหนี้ ลบแล้วประวัติหายตาม</t>
  </si>
  <si>
    <t>c1744f9</t>
  </si>
  <si>
    <t>TC-FT-21, BE-UT-15, BE-UT-16, BE-UT-17</t>
  </si>
  <si>
    <t>12</t>
  </si>
  <si>
    <t>ข้อสังเกตความปลอดภัย: GET /api/budget/reset-budget สั่ง rollover ของผู้ใช้ทุกคนได้</t>
  </si>
  <si>
    <t>endpoint เรียก monthlyRollover() ที่วนทุกผู้ใช้ ผู้ใช้ที่ล็อกอินคนใดก็เรียกได้ (ตัว rollover ทำซ้ำได้ปลอดภัย ไม่ทำให้ข้อมูลซ้ำ)</t>
  </si>
  <si>
    <t>ยังไม่ได้แก้ ควรลบ endpoint นี้ หรือจำกัดสิทธิ์ผู้ดูแล</t>
  </si>
  <si>
    <t>ยังไม่แก้</t>
  </si>
  <si>
    <t>13</t>
  </si>
  <si>
    <t>ข้อสังเกตความปลอดภัย: ผู้ใช้ทั่วไปสร้าง/ลบ debt-types, repayment-types, strategies ได้</t>
  </si>
  <si>
    <t>ไม่มีการตรวจสิทธิ์ผู้ดูแล (ใช้ token ผู้ใช้ปกติสร้างข้อมูลอ้างอิงเหล่านี้ได้จริงตอน seed ในการทดสอบ)</t>
  </si>
  <si>
    <t>ยังไม่ได้แก้ ควรจำกัดเป็นผู้ดูแลหรือย้ายเป็น seed ในฐานข้อมูล</t>
  </si>
  <si>
    <t>14</t>
  </si>
  <si>
    <t>ข้อสังเกต: เพิ่มกลยุทธ์ชำระหนี้ใหม่แล้วผู้ใช้ที่มี cache ไม่เห็นจนกว่า cache หมด (7 วัน)</t>
  </si>
  <si>
    <t>getAllRepaymentStrategies เก็บ cache ใน Redis 7 วัน และ createRepaymentStrategy ไม่ล้าง cache (ล้างเฉพาะตอนเพิ่ม/แก้/ลบ/จ่ายหนี้)</t>
  </si>
  <si>
    <t>ยังไม่ได้แก้ ผลกระทบน้อยเพราะกลยุทธ์ไม่ค่อยเปลี่ยน</t>
  </si>
  <si>
    <t>15</t>
  </si>
  <si>
    <t>แก้รายการธุรกรรมแล้วยอด 'ใช้ไป' ของงบเพี้ยน (หลังแก้เป็น 150 ได้ยอดเกิน 100)</t>
  </si>
  <si>
    <t>updateTransaction บวกยอดใหม่เข้างบโดยไม่หักยอดเดิม และไม่หักจากงบของหมวดเดิมเมื่อเปลี่ยนหมวด</t>
  </si>
  <si>
    <t>หักยอดเดิมจากงบของหมวดเดิม แล้วบวกยอดใหม่เข้างบของหมวดใหม่ พร้อม unit test</t>
  </si>
  <si>
    <t>b4286b6</t>
  </si>
  <si>
    <t>TC-FT-23, BE-UT-12, BE-UT-13</t>
  </si>
  <si>
    <t>16</t>
  </si>
  <si>
    <t>หน้าแก้ไขรายการธุรกรรมเลือกหมวดผิดเป็น 'รายรับ' ถ้าแก้แค่จำนวนแล้วบันทึกอาจย้ายรายจ่ายไปเป็นรายรับ</t>
  </si>
  <si>
    <t>API รายการธุรกรรมส่ง categoryDTO มาแค่ชื่อกับประเภท ไม่มี categoryId แอปอ่านได้ 0 จึงเลือกหมวดแรกของรายการ</t>
  </si>
  <si>
    <t>ให้ backend ส่ง categoryId มาด้วย (ไม่แตะฝั่งแอป)</t>
  </si>
  <si>
    <t>1979b0c</t>
  </si>
  <si>
    <t>TC-UF-03, BE-UT-14</t>
  </si>
  <si>
    <t>17</t>
  </si>
  <si>
    <t>แก้ไขหนี้เพื่อปิดการใช้งาน (isActive=false) ไม่ได้ผล หนี้ยังเป็น active เสมอ</t>
  </si>
  <si>
    <t>DebtService.updateDebt ตั้ง active ตามที่ส่งมา แต่ท้ายฟังก์ชันตั้ง setActive(true) ทับทุกครั้ง ทั้งที่ Home มีหมวด 'หนี้ที่ปิดการใช้งาน'</t>
  </si>
  <si>
    <t>ยังไม่ได้แก้ ต้องยืนยันก่อนว่าตั้งใจให้ปิดได้หรือไม่ และแอปปิดหนี้ด้วยวิธีไหน</t>
  </si>
  <si>
    <t>TC-UF-06 (ข้อสังเกต)</t>
  </si>
  <si>
    <t>18</t>
  </si>
  <si>
    <t>ข้อสังเกตการเข้าถึง: การ์ดหนี้บน Home ไม่มีข้อความใน accessibility tree</t>
  </si>
  <si>
    <t>เห็นแค่ปุ่ม 'แสดงเมนู' ผู้ใช้ screen reader จะไม่ได้ยินชื่อ/ยอดของหนี้</t>
  </si>
  <si>
    <t>ยังไม่ได้แก้ ควรใส่ Semantics ให้การ์ด</t>
  </si>
  <si>
    <t>19</t>
  </si>
  <si>
    <t>ข้อสังเกต: GET /api/repayment-plans ตอบ 404 เมื่อยังไม่มีแผน</t>
  </si>
  <si>
    <t>หน้าจอจัดการแล้ว (แสดง 'ยังไม่มีแผนการชำระหนี้') แต่เป็นการใช้ 404 แทนผลลัพธ์ว่างในกรณีปกติ ทำให้ log/monitor เห็น error เกินจริง</t>
  </si>
  <si>
    <t>ยังไม่ได้แก้ ควรตอบ 200 พร้อมค่าว่าง</t>
  </si>
  <si>
    <t>20</t>
  </si>
  <si>
    <t>ยังไม่ทราบสาเหตุ: อัปโหลดสลิปผ่านหน้าจอแล้วไม่มีการส่งรูปไป backend</t>
  </si>
  <si>
    <t>เลือกไฟล์จากแกลเลอรี่ (ผ่าน file chooser) แล้วหน้าจอไม่เปลี่ยน ไม่มี request และมี pageerror ทั่วไป 1 รายการ อาจเป็นข้อจำกัดของการทดสอบอัตโนมัติ</t>
  </si>
  <si>
    <t>ต้องทดสอบด้วยมือด้วยรูปสลิปจริง (เคส M-F10)</t>
  </si>
  <si>
    <t>รอตรวจ</t>
  </si>
  <si>
    <t>TC-UF-10b, M-F10</t>
  </si>
  <si>
    <t>21</t>
  </si>
  <si>
    <t>unit test เดิมของ backend ตก 21 ข้อ (จาก 183 ข้อ)</t>
  </si>
  <si>
    <t>ตกมาก่อนการแก้ทั้งหมด (ยืนยันบน commit 993a11b ตก 23 ข้อชุดเดียวกัน) สาเหตุหลักคือ Spring context โหลดไม่ได้ในการทดสอบ (ต้องใช้ JWT_SECRET และบริการภายนอก) ควบคุมเทสต์ที่ mock ไม่ครบ และเทสต์ที่ไม่ตรงกับโค้ดปัจจุบัน</t>
  </si>
  <si>
    <t>ยังไม่ได้แก้ ควรให้ CI รัน ./gradlew test และแก้ทีละกลุ่ม (เริ่มจากตั้งค่า test profile ให้ context โหลดได้)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</si>
</sst>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6"/>
      <color rgb="FF1F6B45"/>
      <name val="Arial"/>
    </font>
    <font>
      <sz val="10"/>
      <color rgb="FF595959"/>
      <name val="Arial"/>
    </font>
    <font>
      <b/>
      <sz val="12"/>
      <color rgb="FF000000"/>
      <name val="Arial"/>
    </font>
    <font>
      <b/>
      <sz val="12"/>
      <color rgb="FF1F6B45"/>
      <name val="Arial"/>
    </font>
  </fonts>
  <fills count="4">
    <fill>
      <patternFill patternType="none"/>
    </fill>
    <fill>
      <patternFill patternType="gray125"/>
    </fill>
    <fill>
      <patternFill patternType="solid">
        <fgColor rgb="FF1F6B45"/>
      </patternFill>
    </fill>
    <fill>
      <patternFill patternType="solid">
        <fgColor rgb="FFFFF9D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0" xfId="0" applyFont="1"/>
    <xf numFmtId="164" fontId="7" fillId="0" borderId="0" xfId="0" applyNumberFormat="1" applyFont="1" applyAlignment="1">
      <alignment horizontal="center"/>
    </xf>
    <xf numFmtId="9" fontId="2" fillId="0" borderId="1" xfId="0" applyNumberFormat="1" applyFont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0" fontId="2" fillId="0" borderId="0" xfId="0" applyFont="1"/>
    <xf numFmtId="0" fontId="2" fillId="3" borderId="1" xfId="0" applyFont="1" applyFill="1" applyBorder="1"/>
    <xf numFmtId="165" fontId="2" fillId="3" borderId="1" xfId="0" applyNumberFormat="1" applyFont="1" applyFill="1" applyBorder="1"/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165" fontId="2" fillId="0" borderId="1" xfId="0" applyNumberFormat="1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165" fontId="2" fillId="3" borderId="1" xfId="0" applyNumberFormat="1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5">
    <dxf>
      <font>
        <color rgb="FF595959"/>
        <name val="Arial"/>
      </font>
      <fill>
        <patternFill patternType="solid">
          <bgColor rgb="FFEDEDED"/>
        </patternFill>
      </fill>
    </dxf>
    <dxf>
      <font>
        <color rgb="FF9C5700"/>
        <name val="Arial"/>
      </font>
      <fill>
        <patternFill patternType="solid">
          <bgColor rgb="FFFFEB9C"/>
        </patternFill>
      </fill>
    </dxf>
    <dxf>
      <font>
        <color rgb="FF9C0006"/>
        <name val="Arial"/>
      </font>
      <fill>
        <patternFill patternType="solid">
          <bgColor rgb="FFFFC7CE"/>
        </patternFill>
      </fill>
    </dxf>
    <dxf>
      <font>
        <b/>
        <color rgb="FF9C0006"/>
        <name val="Arial"/>
      </font>
      <fill>
        <patternFill patternType="solid">
          <bgColor rgb="FFFFC7CE"/>
        </patternFill>
      </fill>
    </dxf>
    <dxf>
      <font>
        <b/>
        <color rgb="FF006100"/>
        <name val="Arial"/>
      </font>
      <fill>
        <patternFill patternType="solid"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46"/>
  <sheetViews>
    <sheetView showGridLines="0" tabSelected="1" workbookViewId="0"/>
  </sheetViews>
  <sheetFormatPr defaultRowHeight="14.4" x14ac:dyDescent="0.3"/>
  <cols>
    <col min="1" max="1" width="3" customWidth="1"/>
    <col min="2" max="2" width="40" customWidth="1"/>
    <col min="3" max="9" width="14" customWidth="1"/>
  </cols>
  <sheetData>
    <row r="2" spans="1:9" ht="21" customHeight="1" x14ac:dyDescent="0.4">
      <c r="B2" s="1" t="s">
        <v>0</v>
      </c>
    </row>
    <row r="3" spans="1:9" x14ac:dyDescent="0.3">
      <c r="B3" s="2" t="s">
        <v>1</v>
      </c>
    </row>
    <row r="5" spans="1:9" ht="15.6" customHeight="1" x14ac:dyDescent="0.3">
      <c r="B5" s="3" t="s">
        <v>2</v>
      </c>
    </row>
    <row r="6" spans="1:9" x14ac:dyDescent="0.3">
      <c r="A6" s="4"/>
      <c r="B6" s="5" t="s">
        <v>3</v>
      </c>
      <c r="C6" s="4" t="s">
        <v>4</v>
      </c>
      <c r="D6" s="4" t="s">
        <v>5</v>
      </c>
    </row>
    <row r="7" spans="1:9" x14ac:dyDescent="0.3">
      <c r="B7" s="6" t="s">
        <v>6</v>
      </c>
      <c r="C7" s="7">
        <f>COUNTIF('Test Cases'!$I$2:$I$300,B7)</f>
        <v>21</v>
      </c>
      <c r="D7" s="8">
        <f>IF($C$12=0,0,C7/$C$12)</f>
        <v>0.18421052631578946</v>
      </c>
    </row>
    <row r="8" spans="1:9" x14ac:dyDescent="0.3">
      <c r="B8" s="6" t="s">
        <v>7</v>
      </c>
      <c r="C8" s="7">
        <f>COUNTIF('Test Cases'!$I$2:$I$300,B8)</f>
        <v>91</v>
      </c>
      <c r="D8" s="8">
        <f>IF($C$12=0,0,C8/$C$12)</f>
        <v>0.79824561403508776</v>
      </c>
    </row>
    <row r="9" spans="1:9" x14ac:dyDescent="0.3">
      <c r="B9" s="6" t="s">
        <v>8</v>
      </c>
      <c r="C9" s="7">
        <f>COUNTIF('Test Cases'!$I$2:$I$300,B9)</f>
        <v>1</v>
      </c>
      <c r="D9" s="8">
        <f>IF($C$12=0,0,C9/$C$12)</f>
        <v>8.771929824561403E-3</v>
      </c>
    </row>
    <row r="10" spans="1:9" x14ac:dyDescent="0.3">
      <c r="B10" s="6" t="s">
        <v>9</v>
      </c>
      <c r="C10" s="7">
        <f>COUNTIF('Test Cases'!$I$2:$I$300,B10)</f>
        <v>1</v>
      </c>
      <c r="D10" s="8">
        <f>IF($C$12=0,0,C10/$C$12)</f>
        <v>8.771929824561403E-3</v>
      </c>
    </row>
    <row r="11" spans="1:9" x14ac:dyDescent="0.3">
      <c r="B11" s="6" t="s">
        <v>10</v>
      </c>
      <c r="C11" s="7">
        <f>COUNTIF('Test Cases'!$I$2:$I$300,B11)</f>
        <v>0</v>
      </c>
      <c r="D11" s="8">
        <f>IF($C$12=0,0,C11/$C$12)</f>
        <v>0</v>
      </c>
    </row>
    <row r="12" spans="1:9" x14ac:dyDescent="0.3">
      <c r="B12" s="9" t="s">
        <v>11</v>
      </c>
      <c r="C12" s="10">
        <f>SUM(C7:C11)</f>
        <v>114</v>
      </c>
      <c r="D12" s="11">
        <f>SUM(D7:D11)</f>
        <v>1</v>
      </c>
    </row>
    <row r="13" spans="1:9" ht="15.6" customHeight="1" x14ac:dyDescent="0.3">
      <c r="B13" s="12" t="s">
        <v>12</v>
      </c>
      <c r="C13" s="13">
        <f>IF(C12=0,0,C8/C12)</f>
        <v>0.79824561403508776</v>
      </c>
    </row>
    <row r="15" spans="1:9" ht="15.6" customHeight="1" x14ac:dyDescent="0.3">
      <c r="B15" s="3" t="s">
        <v>13</v>
      </c>
    </row>
    <row r="16" spans="1:9" x14ac:dyDescent="0.3">
      <c r="A16" s="4"/>
      <c r="B16" s="5" t="s">
        <v>14</v>
      </c>
      <c r="C16" s="4" t="s">
        <v>15</v>
      </c>
      <c r="D16" s="4" t="s">
        <v>7</v>
      </c>
      <c r="E16" s="4" t="s">
        <v>8</v>
      </c>
      <c r="F16" s="4" t="s">
        <v>9</v>
      </c>
      <c r="G16" s="4" t="s">
        <v>10</v>
      </c>
      <c r="H16" s="4" t="s">
        <v>6</v>
      </c>
      <c r="I16" s="4" t="s">
        <v>16</v>
      </c>
    </row>
    <row r="17" spans="1:9" x14ac:dyDescent="0.3">
      <c r="B17" s="6" t="s">
        <v>17</v>
      </c>
      <c r="C17" s="7">
        <f>COUNTIF('Test Cases'!$B$2:$B$300,B17)</f>
        <v>10</v>
      </c>
      <c r="D17" s="7">
        <f>COUNTIFS('Test Cases'!$B$2:$B$300,$B17,'Test Cases'!$I$2:$I$300,"ผ่าน")</f>
        <v>10</v>
      </c>
      <c r="E17" s="7">
        <f>COUNTIFS('Test Cases'!$B$2:$B$300,$B17,'Test Cases'!$I$2:$I$300,"ไม่ผ่าน")</f>
        <v>0</v>
      </c>
      <c r="F17" s="7">
        <f>COUNTIFS('Test Cases'!$B$2:$B$300,$B17,'Test Cases'!$I$2:$I$300,"ข้าม")</f>
        <v>0</v>
      </c>
      <c r="G17" s="7">
        <f>COUNTIFS('Test Cases'!$B$2:$B$300,$B17,'Test Cases'!$I$2:$I$300,"บล็อก")</f>
        <v>0</v>
      </c>
      <c r="H17" s="7">
        <f>COUNTIFS('Test Cases'!$B$2:$B$300,$B17,'Test Cases'!$I$2:$I$300,"ยังไม่ทดสอบ")</f>
        <v>0</v>
      </c>
      <c r="I17" s="14">
        <f t="shared" ref="I17:I25" si="0">IF(C17=0,0,D17/C17)</f>
        <v>1</v>
      </c>
    </row>
    <row r="18" spans="1:9" x14ac:dyDescent="0.3">
      <c r="B18" s="6" t="s">
        <v>18</v>
      </c>
      <c r="C18" s="7">
        <f>COUNTIF('Test Cases'!$B$2:$B$300,B18)</f>
        <v>2</v>
      </c>
      <c r="D18" s="7">
        <f>COUNTIFS('Test Cases'!$B$2:$B$300,$B18,'Test Cases'!$I$2:$I$300,"ผ่าน")</f>
        <v>2</v>
      </c>
      <c r="E18" s="7">
        <f>COUNTIFS('Test Cases'!$B$2:$B$300,$B18,'Test Cases'!$I$2:$I$300,"ไม่ผ่าน")</f>
        <v>0</v>
      </c>
      <c r="F18" s="7">
        <f>COUNTIFS('Test Cases'!$B$2:$B$300,$B18,'Test Cases'!$I$2:$I$300,"ข้าม")</f>
        <v>0</v>
      </c>
      <c r="G18" s="7">
        <f>COUNTIFS('Test Cases'!$B$2:$B$300,$B18,'Test Cases'!$I$2:$I$300,"บล็อก")</f>
        <v>0</v>
      </c>
      <c r="H18" s="7">
        <f>COUNTIFS('Test Cases'!$B$2:$B$300,$B18,'Test Cases'!$I$2:$I$300,"ยังไม่ทดสอบ")</f>
        <v>0</v>
      </c>
      <c r="I18" s="14">
        <f t="shared" si="0"/>
        <v>1</v>
      </c>
    </row>
    <row r="19" spans="1:9" x14ac:dyDescent="0.3">
      <c r="B19" s="6" t="s">
        <v>19</v>
      </c>
      <c r="C19" s="7">
        <f>COUNTIF('Test Cases'!$B$2:$B$300,B19)</f>
        <v>16</v>
      </c>
      <c r="D19" s="7">
        <f>COUNTIFS('Test Cases'!$B$2:$B$300,$B19,'Test Cases'!$I$2:$I$300,"ผ่าน")</f>
        <v>16</v>
      </c>
      <c r="E19" s="7">
        <f>COUNTIFS('Test Cases'!$B$2:$B$300,$B19,'Test Cases'!$I$2:$I$300,"ไม่ผ่าน")</f>
        <v>0</v>
      </c>
      <c r="F19" s="7">
        <f>COUNTIFS('Test Cases'!$B$2:$B$300,$B19,'Test Cases'!$I$2:$I$300,"ข้าม")</f>
        <v>0</v>
      </c>
      <c r="G19" s="7">
        <f>COUNTIFS('Test Cases'!$B$2:$B$300,$B19,'Test Cases'!$I$2:$I$300,"บล็อก")</f>
        <v>0</v>
      </c>
      <c r="H19" s="7">
        <f>COUNTIFS('Test Cases'!$B$2:$B$300,$B19,'Test Cases'!$I$2:$I$300,"ยังไม่ทดสอบ")</f>
        <v>0</v>
      </c>
      <c r="I19" s="14">
        <f t="shared" si="0"/>
        <v>1</v>
      </c>
    </row>
    <row r="20" spans="1:9" x14ac:dyDescent="0.3">
      <c r="B20" s="6" t="s">
        <v>20</v>
      </c>
      <c r="C20" s="7">
        <f>COUNTIF('Test Cases'!$B$2:$B$300,B20)</f>
        <v>17</v>
      </c>
      <c r="D20" s="7">
        <f>COUNTIFS('Test Cases'!$B$2:$B$300,$B20,'Test Cases'!$I$2:$I$300,"ผ่าน")</f>
        <v>16</v>
      </c>
      <c r="E20" s="7">
        <f>COUNTIFS('Test Cases'!$B$2:$B$300,$B20,'Test Cases'!$I$2:$I$300,"ไม่ผ่าน")</f>
        <v>1</v>
      </c>
      <c r="F20" s="7">
        <f>COUNTIFS('Test Cases'!$B$2:$B$300,$B20,'Test Cases'!$I$2:$I$300,"ข้าม")</f>
        <v>0</v>
      </c>
      <c r="G20" s="7">
        <f>COUNTIFS('Test Cases'!$B$2:$B$300,$B20,'Test Cases'!$I$2:$I$300,"บล็อก")</f>
        <v>0</v>
      </c>
      <c r="H20" s="7">
        <f>COUNTIFS('Test Cases'!$B$2:$B$300,$B20,'Test Cases'!$I$2:$I$300,"ยังไม่ทดสอบ")</f>
        <v>0</v>
      </c>
      <c r="I20" s="14">
        <f t="shared" si="0"/>
        <v>0.94117647058823528</v>
      </c>
    </row>
    <row r="21" spans="1:9" x14ac:dyDescent="0.3">
      <c r="B21" s="6" t="s">
        <v>21</v>
      </c>
      <c r="C21" s="7">
        <f>COUNTIF('Test Cases'!$B$2:$B$300,B21)</f>
        <v>7</v>
      </c>
      <c r="D21" s="7">
        <f>COUNTIFS('Test Cases'!$B$2:$B$300,$B21,'Test Cases'!$I$2:$I$300,"ผ่าน")</f>
        <v>0</v>
      </c>
      <c r="E21" s="7">
        <f>COUNTIFS('Test Cases'!$B$2:$B$300,$B21,'Test Cases'!$I$2:$I$300,"ไม่ผ่าน")</f>
        <v>0</v>
      </c>
      <c r="F21" s="7">
        <f>COUNTIFS('Test Cases'!$B$2:$B$300,$B21,'Test Cases'!$I$2:$I$300,"ข้าม")</f>
        <v>0</v>
      </c>
      <c r="G21" s="7">
        <f>COUNTIFS('Test Cases'!$B$2:$B$300,$B21,'Test Cases'!$I$2:$I$300,"บล็อก")</f>
        <v>0</v>
      </c>
      <c r="H21" s="7">
        <f>COUNTIFS('Test Cases'!$B$2:$B$300,$B21,'Test Cases'!$I$2:$I$300,"ยังไม่ทดสอบ")</f>
        <v>7</v>
      </c>
      <c r="I21" s="14">
        <f t="shared" si="0"/>
        <v>0</v>
      </c>
    </row>
    <row r="22" spans="1:9" x14ac:dyDescent="0.3">
      <c r="B22" s="6" t="s">
        <v>22</v>
      </c>
      <c r="C22" s="7">
        <f>COUNTIF('Test Cases'!$B$2:$B$300,B22)</f>
        <v>7</v>
      </c>
      <c r="D22" s="7">
        <f>COUNTIFS('Test Cases'!$B$2:$B$300,$B22,'Test Cases'!$I$2:$I$300,"ผ่าน")</f>
        <v>0</v>
      </c>
      <c r="E22" s="7">
        <f>COUNTIFS('Test Cases'!$B$2:$B$300,$B22,'Test Cases'!$I$2:$I$300,"ไม่ผ่าน")</f>
        <v>0</v>
      </c>
      <c r="F22" s="7">
        <f>COUNTIFS('Test Cases'!$B$2:$B$300,$B22,'Test Cases'!$I$2:$I$300,"ข้าม")</f>
        <v>0</v>
      </c>
      <c r="G22" s="7">
        <f>COUNTIFS('Test Cases'!$B$2:$B$300,$B22,'Test Cases'!$I$2:$I$300,"บล็อก")</f>
        <v>0</v>
      </c>
      <c r="H22" s="7">
        <f>COUNTIFS('Test Cases'!$B$2:$B$300,$B22,'Test Cases'!$I$2:$I$300,"ยังไม่ทดสอบ")</f>
        <v>7</v>
      </c>
      <c r="I22" s="14">
        <f t="shared" si="0"/>
        <v>0</v>
      </c>
    </row>
    <row r="23" spans="1:9" x14ac:dyDescent="0.3">
      <c r="B23" s="6" t="s">
        <v>23</v>
      </c>
      <c r="C23" s="7">
        <f>COUNTIF('Test Cases'!$B$2:$B$300,B23)</f>
        <v>49</v>
      </c>
      <c r="D23" s="7">
        <f>COUNTIFS('Test Cases'!$B$2:$B$300,$B23,'Test Cases'!$I$2:$I$300,"ผ่าน")</f>
        <v>47</v>
      </c>
      <c r="E23" s="7">
        <f>COUNTIFS('Test Cases'!$B$2:$B$300,$B23,'Test Cases'!$I$2:$I$300,"ไม่ผ่าน")</f>
        <v>0</v>
      </c>
      <c r="F23" s="7">
        <f>COUNTIFS('Test Cases'!$B$2:$B$300,$B23,'Test Cases'!$I$2:$I$300,"ข้าม")</f>
        <v>1</v>
      </c>
      <c r="G23" s="7">
        <f>COUNTIFS('Test Cases'!$B$2:$B$300,$B23,'Test Cases'!$I$2:$I$300,"บล็อก")</f>
        <v>0</v>
      </c>
      <c r="H23" s="7">
        <f>COUNTIFS('Test Cases'!$B$2:$B$300,$B23,'Test Cases'!$I$2:$I$300,"ยังไม่ทดสอบ")</f>
        <v>1</v>
      </c>
      <c r="I23" s="14">
        <f t="shared" si="0"/>
        <v>0.95918367346938771</v>
      </c>
    </row>
    <row r="24" spans="1:9" x14ac:dyDescent="0.3">
      <c r="B24" s="6" t="s">
        <v>24</v>
      </c>
      <c r="C24" s="7">
        <f>COUNTIF('Test Cases'!$B$2:$B$300,B24)</f>
        <v>6</v>
      </c>
      <c r="D24" s="7">
        <f>COUNTIFS('Test Cases'!$B$2:$B$300,$B24,'Test Cases'!$I$2:$I$300,"ผ่าน")</f>
        <v>0</v>
      </c>
      <c r="E24" s="7">
        <f>COUNTIFS('Test Cases'!$B$2:$B$300,$B24,'Test Cases'!$I$2:$I$300,"ไม่ผ่าน")</f>
        <v>0</v>
      </c>
      <c r="F24" s="7">
        <f>COUNTIFS('Test Cases'!$B$2:$B$300,$B24,'Test Cases'!$I$2:$I$300,"ข้าม")</f>
        <v>0</v>
      </c>
      <c r="G24" s="7">
        <f>COUNTIFS('Test Cases'!$B$2:$B$300,$B24,'Test Cases'!$I$2:$I$300,"บล็อก")</f>
        <v>0</v>
      </c>
      <c r="H24" s="7">
        <f>COUNTIFS('Test Cases'!$B$2:$B$300,$B24,'Test Cases'!$I$2:$I$300,"ยังไม่ทดสอบ")</f>
        <v>6</v>
      </c>
      <c r="I24" s="14">
        <f t="shared" si="0"/>
        <v>0</v>
      </c>
    </row>
    <row r="25" spans="1:9" x14ac:dyDescent="0.3">
      <c r="B25" s="9" t="s">
        <v>15</v>
      </c>
      <c r="C25" s="10">
        <f t="shared" ref="C25:H25" si="1">SUM(C17:C24)</f>
        <v>114</v>
      </c>
      <c r="D25" s="10">
        <f t="shared" si="1"/>
        <v>91</v>
      </c>
      <c r="E25" s="10">
        <f t="shared" si="1"/>
        <v>1</v>
      </c>
      <c r="F25" s="10">
        <f t="shared" si="1"/>
        <v>1</v>
      </c>
      <c r="G25" s="10">
        <f t="shared" si="1"/>
        <v>0</v>
      </c>
      <c r="H25" s="10">
        <f t="shared" si="1"/>
        <v>21</v>
      </c>
      <c r="I25" s="15">
        <f t="shared" si="0"/>
        <v>0.79824561403508776</v>
      </c>
    </row>
    <row r="27" spans="1:9" ht="15.6" customHeight="1" x14ac:dyDescent="0.3">
      <c r="B27" s="3" t="s">
        <v>25</v>
      </c>
    </row>
    <row r="28" spans="1:9" x14ac:dyDescent="0.3">
      <c r="A28" s="4"/>
      <c r="B28" s="5" t="s">
        <v>26</v>
      </c>
      <c r="C28" s="4" t="s">
        <v>15</v>
      </c>
      <c r="D28" s="4" t="s">
        <v>7</v>
      </c>
      <c r="E28" s="4" t="s">
        <v>6</v>
      </c>
    </row>
    <row r="29" spans="1:9" x14ac:dyDescent="0.3">
      <c r="B29" s="6" t="s">
        <v>27</v>
      </c>
      <c r="C29" s="7">
        <f>COUNTIF('Test Cases'!$G$2:$G$300,B29)</f>
        <v>82</v>
      </c>
      <c r="D29" s="7">
        <f>COUNTIFS('Test Cases'!$G$2:$G$300,$B29,'Test Cases'!$I$2:$I$300,"ผ่าน")</f>
        <v>80</v>
      </c>
      <c r="E29" s="7">
        <f>COUNTIFS('Test Cases'!$G$2:$G$300,$B29,'Test Cases'!$I$2:$I$300,"ยังไม่ทดสอบ")</f>
        <v>0</v>
      </c>
    </row>
    <row r="30" spans="1:9" x14ac:dyDescent="0.3">
      <c r="B30" s="6" t="s">
        <v>28</v>
      </c>
      <c r="C30" s="7">
        <f>COUNTIF('Test Cases'!$G$2:$G$300,B30)</f>
        <v>32</v>
      </c>
      <c r="D30" s="7">
        <f>COUNTIFS('Test Cases'!$G$2:$G$300,$B30,'Test Cases'!$I$2:$I$300,"ผ่าน")</f>
        <v>11</v>
      </c>
      <c r="E30" s="7">
        <f>COUNTIFS('Test Cases'!$G$2:$G$300,$B30,'Test Cases'!$I$2:$I$300,"ยังไม่ทดสอบ")</f>
        <v>21</v>
      </c>
    </row>
    <row r="33" spans="1:6" ht="15.6" customHeight="1" x14ac:dyDescent="0.3">
      <c r="B33" s="3" t="s">
        <v>29</v>
      </c>
    </row>
    <row r="34" spans="1:6" x14ac:dyDescent="0.3">
      <c r="B34" s="16" t="s">
        <v>30</v>
      </c>
    </row>
    <row r="35" spans="1:6" x14ac:dyDescent="0.3">
      <c r="B35" s="16" t="s">
        <v>31</v>
      </c>
    </row>
    <row r="36" spans="1:6" x14ac:dyDescent="0.3">
      <c r="B36" s="16" t="s">
        <v>32</v>
      </c>
    </row>
    <row r="37" spans="1:6" x14ac:dyDescent="0.3">
      <c r="B37" s="16" t="s">
        <v>33</v>
      </c>
    </row>
    <row r="38" spans="1:6" x14ac:dyDescent="0.3">
      <c r="B38" s="16" t="s">
        <v>34</v>
      </c>
    </row>
    <row r="39" spans="1:6" x14ac:dyDescent="0.3">
      <c r="B39" s="16" t="s">
        <v>35</v>
      </c>
    </row>
    <row r="41" spans="1:6" x14ac:dyDescent="0.3">
      <c r="B41" s="12" t="s">
        <v>36</v>
      </c>
    </row>
    <row r="42" spans="1:6" ht="39.6" customHeight="1" x14ac:dyDescent="0.3">
      <c r="A42" s="4"/>
      <c r="B42" s="4" t="s">
        <v>37</v>
      </c>
      <c r="C42" s="4" t="s">
        <v>3</v>
      </c>
      <c r="D42" s="4" t="s">
        <v>38</v>
      </c>
      <c r="E42" s="4" t="s">
        <v>39</v>
      </c>
      <c r="F42" s="4" t="s">
        <v>40</v>
      </c>
    </row>
    <row r="43" spans="1:6" x14ac:dyDescent="0.3">
      <c r="B43" s="17" t="s">
        <v>41</v>
      </c>
      <c r="C43" s="17" t="s">
        <v>7</v>
      </c>
      <c r="D43" s="18">
        <v>46310</v>
      </c>
      <c r="E43" s="17" t="s">
        <v>42</v>
      </c>
      <c r="F43" s="17" t="s">
        <v>43</v>
      </c>
    </row>
    <row r="45" spans="1:6" x14ac:dyDescent="0.3">
      <c r="B45" s="2" t="s">
        <v>44</v>
      </c>
    </row>
    <row r="46" spans="1:6" x14ac:dyDescent="0.3">
      <c r="B46" s="2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5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" customWidth="1"/>
    <col min="2" max="2" width="26" customWidth="1"/>
    <col min="3" max="3" width="38" customWidth="1"/>
    <col min="4" max="4" width="44" customWidth="1"/>
    <col min="5" max="5" width="46" customWidth="1"/>
    <col min="6" max="6" width="11" customWidth="1"/>
    <col min="7" max="7" width="12" customWidth="1"/>
    <col min="8" max="8" width="40" customWidth="1"/>
    <col min="9" max="9" width="14" customWidth="1"/>
    <col min="10" max="10" width="13" customWidth="1"/>
    <col min="11" max="11" width="18" customWidth="1"/>
    <col min="12" max="12" width="46" customWidth="1"/>
  </cols>
  <sheetData>
    <row r="1" spans="1:12" ht="31.95" customHeight="1" x14ac:dyDescent="0.3">
      <c r="A1" s="4" t="s">
        <v>37</v>
      </c>
      <c r="B1" s="4" t="s">
        <v>14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3</v>
      </c>
      <c r="J1" s="4" t="s">
        <v>38</v>
      </c>
      <c r="K1" s="4" t="s">
        <v>39</v>
      </c>
      <c r="L1" s="4" t="s">
        <v>40</v>
      </c>
    </row>
    <row r="2" spans="1:12" ht="39.6" customHeight="1" x14ac:dyDescent="0.3">
      <c r="A2" s="19" t="s">
        <v>52</v>
      </c>
      <c r="B2" s="20" t="s">
        <v>17</v>
      </c>
      <c r="C2" s="20" t="s">
        <v>53</v>
      </c>
      <c r="D2" s="20" t="s">
        <v>54</v>
      </c>
      <c r="E2" s="20" t="s">
        <v>55</v>
      </c>
      <c r="F2" s="21" t="s">
        <v>56</v>
      </c>
      <c r="G2" s="21" t="s">
        <v>27</v>
      </c>
      <c r="H2" s="20" t="s">
        <v>57</v>
      </c>
      <c r="I2" s="22" t="s">
        <v>7</v>
      </c>
      <c r="J2" s="23">
        <v>46309</v>
      </c>
      <c r="K2" s="20" t="s">
        <v>58</v>
      </c>
      <c r="L2" s="20"/>
    </row>
    <row r="3" spans="1:12" ht="26.4" customHeight="1" x14ac:dyDescent="0.3">
      <c r="A3" s="19" t="s">
        <v>59</v>
      </c>
      <c r="B3" s="20" t="s">
        <v>17</v>
      </c>
      <c r="C3" s="20" t="s">
        <v>60</v>
      </c>
      <c r="D3" s="20" t="s">
        <v>61</v>
      </c>
      <c r="E3" s="20" t="s">
        <v>62</v>
      </c>
      <c r="F3" s="21" t="s">
        <v>56</v>
      </c>
      <c r="G3" s="21" t="s">
        <v>27</v>
      </c>
      <c r="H3" s="20" t="s">
        <v>57</v>
      </c>
      <c r="I3" s="22" t="s">
        <v>7</v>
      </c>
      <c r="J3" s="23">
        <v>46309</v>
      </c>
      <c r="K3" s="20" t="s">
        <v>58</v>
      </c>
      <c r="L3" s="20"/>
    </row>
    <row r="4" spans="1:12" ht="26.4" customHeight="1" x14ac:dyDescent="0.3">
      <c r="A4" s="19" t="s">
        <v>63</v>
      </c>
      <c r="B4" s="20" t="s">
        <v>17</v>
      </c>
      <c r="C4" s="20" t="s">
        <v>64</v>
      </c>
      <c r="D4" s="20" t="s">
        <v>65</v>
      </c>
      <c r="E4" s="20" t="s">
        <v>66</v>
      </c>
      <c r="F4" s="21" t="s">
        <v>67</v>
      </c>
      <c r="G4" s="21" t="s">
        <v>27</v>
      </c>
      <c r="H4" s="20" t="s">
        <v>57</v>
      </c>
      <c r="I4" s="22" t="s">
        <v>7</v>
      </c>
      <c r="J4" s="23">
        <v>46309</v>
      </c>
      <c r="K4" s="20" t="s">
        <v>58</v>
      </c>
      <c r="L4" s="20"/>
    </row>
    <row r="5" spans="1:12" ht="26.4" customHeight="1" x14ac:dyDescent="0.3">
      <c r="A5" s="19" t="s">
        <v>68</v>
      </c>
      <c r="B5" s="20" t="s">
        <v>17</v>
      </c>
      <c r="C5" s="20" t="s">
        <v>69</v>
      </c>
      <c r="D5" s="20" t="s">
        <v>70</v>
      </c>
      <c r="E5" s="20" t="s">
        <v>71</v>
      </c>
      <c r="F5" s="21" t="s">
        <v>67</v>
      </c>
      <c r="G5" s="21" t="s">
        <v>27</v>
      </c>
      <c r="H5" s="20" t="s">
        <v>57</v>
      </c>
      <c r="I5" s="22" t="s">
        <v>7</v>
      </c>
      <c r="J5" s="23">
        <v>46309</v>
      </c>
      <c r="K5" s="20" t="s">
        <v>58</v>
      </c>
      <c r="L5" s="20"/>
    </row>
    <row r="6" spans="1:12" ht="26.4" customHeight="1" x14ac:dyDescent="0.3">
      <c r="A6" s="19" t="s">
        <v>72</v>
      </c>
      <c r="B6" s="20" t="s">
        <v>17</v>
      </c>
      <c r="C6" s="20" t="s">
        <v>73</v>
      </c>
      <c r="D6" s="20" t="s">
        <v>74</v>
      </c>
      <c r="E6" s="20" t="s">
        <v>75</v>
      </c>
      <c r="F6" s="21" t="s">
        <v>56</v>
      </c>
      <c r="G6" s="21" t="s">
        <v>27</v>
      </c>
      <c r="H6" s="20" t="s">
        <v>57</v>
      </c>
      <c r="I6" s="22" t="s">
        <v>7</v>
      </c>
      <c r="J6" s="23">
        <v>46309</v>
      </c>
      <c r="K6" s="20" t="s">
        <v>58</v>
      </c>
      <c r="L6" s="20"/>
    </row>
    <row r="7" spans="1:12" ht="26.4" customHeight="1" x14ac:dyDescent="0.3">
      <c r="A7" s="19" t="s">
        <v>76</v>
      </c>
      <c r="B7" s="20" t="s">
        <v>17</v>
      </c>
      <c r="C7" s="20" t="s">
        <v>77</v>
      </c>
      <c r="D7" s="20" t="s">
        <v>78</v>
      </c>
      <c r="E7" s="20" t="s">
        <v>79</v>
      </c>
      <c r="F7" s="21" t="s">
        <v>67</v>
      </c>
      <c r="G7" s="21" t="s">
        <v>27</v>
      </c>
      <c r="H7" s="20" t="s">
        <v>57</v>
      </c>
      <c r="I7" s="22" t="s">
        <v>7</v>
      </c>
      <c r="J7" s="23">
        <v>46309</v>
      </c>
      <c r="K7" s="20" t="s">
        <v>58</v>
      </c>
      <c r="L7" s="20"/>
    </row>
    <row r="8" spans="1:12" x14ac:dyDescent="0.3">
      <c r="A8" s="19" t="s">
        <v>80</v>
      </c>
      <c r="B8" s="20" t="s">
        <v>17</v>
      </c>
      <c r="C8" s="20" t="s">
        <v>81</v>
      </c>
      <c r="D8" s="20" t="s">
        <v>82</v>
      </c>
      <c r="E8" s="20" t="s">
        <v>83</v>
      </c>
      <c r="F8" s="21" t="s">
        <v>67</v>
      </c>
      <c r="G8" s="21" t="s">
        <v>27</v>
      </c>
      <c r="H8" s="20" t="s">
        <v>57</v>
      </c>
      <c r="I8" s="22" t="s">
        <v>7</v>
      </c>
      <c r="J8" s="23">
        <v>46309</v>
      </c>
      <c r="K8" s="20" t="s">
        <v>58</v>
      </c>
      <c r="L8" s="20"/>
    </row>
    <row r="9" spans="1:12" ht="26.4" customHeight="1" x14ac:dyDescent="0.3">
      <c r="A9" s="19" t="s">
        <v>84</v>
      </c>
      <c r="B9" s="20" t="s">
        <v>18</v>
      </c>
      <c r="C9" s="20" t="s">
        <v>85</v>
      </c>
      <c r="D9" s="20" t="s">
        <v>86</v>
      </c>
      <c r="E9" s="20" t="s">
        <v>87</v>
      </c>
      <c r="F9" s="21" t="s">
        <v>67</v>
      </c>
      <c r="G9" s="21" t="s">
        <v>27</v>
      </c>
      <c r="H9" s="20" t="s">
        <v>57</v>
      </c>
      <c r="I9" s="22" t="s">
        <v>7</v>
      </c>
      <c r="J9" s="23">
        <v>46309</v>
      </c>
      <c r="K9" s="20" t="s">
        <v>58</v>
      </c>
      <c r="L9" s="20"/>
    </row>
    <row r="10" spans="1:12" ht="26.4" customHeight="1" x14ac:dyDescent="0.3">
      <c r="A10" s="19" t="s">
        <v>88</v>
      </c>
      <c r="B10" s="20" t="s">
        <v>18</v>
      </c>
      <c r="C10" s="20" t="s">
        <v>89</v>
      </c>
      <c r="D10" s="20" t="s">
        <v>90</v>
      </c>
      <c r="E10" s="20" t="s">
        <v>91</v>
      </c>
      <c r="F10" s="21" t="s">
        <v>56</v>
      </c>
      <c r="G10" s="21" t="s">
        <v>27</v>
      </c>
      <c r="H10" s="20" t="s">
        <v>57</v>
      </c>
      <c r="I10" s="22" t="s">
        <v>7</v>
      </c>
      <c r="J10" s="23">
        <v>46309</v>
      </c>
      <c r="K10" s="20" t="s">
        <v>58</v>
      </c>
      <c r="L10" s="20" t="s">
        <v>92</v>
      </c>
    </row>
    <row r="11" spans="1:12" x14ac:dyDescent="0.3">
      <c r="A11" s="19" t="s">
        <v>93</v>
      </c>
      <c r="B11" s="20" t="s">
        <v>19</v>
      </c>
      <c r="C11" s="20" t="s">
        <v>94</v>
      </c>
      <c r="D11" s="20" t="s">
        <v>95</v>
      </c>
      <c r="E11" s="20" t="s">
        <v>96</v>
      </c>
      <c r="F11" s="21" t="s">
        <v>56</v>
      </c>
      <c r="G11" s="21" t="s">
        <v>27</v>
      </c>
      <c r="H11" s="20" t="s">
        <v>97</v>
      </c>
      <c r="I11" s="22" t="s">
        <v>7</v>
      </c>
      <c r="J11" s="23">
        <v>46309</v>
      </c>
      <c r="K11" s="20" t="s">
        <v>58</v>
      </c>
      <c r="L11" s="20"/>
    </row>
    <row r="12" spans="1:12" ht="26.4" customHeight="1" x14ac:dyDescent="0.3">
      <c r="A12" s="19" t="s">
        <v>98</v>
      </c>
      <c r="B12" s="20" t="s">
        <v>19</v>
      </c>
      <c r="C12" s="20" t="s">
        <v>99</v>
      </c>
      <c r="D12" s="20" t="s">
        <v>100</v>
      </c>
      <c r="E12" s="20" t="s">
        <v>101</v>
      </c>
      <c r="F12" s="21" t="s">
        <v>56</v>
      </c>
      <c r="G12" s="21" t="s">
        <v>27</v>
      </c>
      <c r="H12" s="20" t="s">
        <v>97</v>
      </c>
      <c r="I12" s="22" t="s">
        <v>7</v>
      </c>
      <c r="J12" s="23">
        <v>46309</v>
      </c>
      <c r="K12" s="20" t="s">
        <v>58</v>
      </c>
      <c r="L12" s="20"/>
    </row>
    <row r="13" spans="1:12" ht="26.4" customHeight="1" x14ac:dyDescent="0.3">
      <c r="A13" s="19" t="s">
        <v>102</v>
      </c>
      <c r="B13" s="20" t="s">
        <v>19</v>
      </c>
      <c r="C13" s="20" t="s">
        <v>103</v>
      </c>
      <c r="D13" s="20" t="s">
        <v>104</v>
      </c>
      <c r="E13" s="20" t="s">
        <v>105</v>
      </c>
      <c r="F13" s="21" t="s">
        <v>56</v>
      </c>
      <c r="G13" s="21" t="s">
        <v>27</v>
      </c>
      <c r="H13" s="20" t="s">
        <v>97</v>
      </c>
      <c r="I13" s="22" t="s">
        <v>7</v>
      </c>
      <c r="J13" s="23">
        <v>46309</v>
      </c>
      <c r="K13" s="20" t="s">
        <v>58</v>
      </c>
      <c r="L13" s="20"/>
    </row>
    <row r="14" spans="1:12" x14ac:dyDescent="0.3">
      <c r="A14" s="19" t="s">
        <v>106</v>
      </c>
      <c r="B14" s="20" t="s">
        <v>19</v>
      </c>
      <c r="C14" s="20" t="s">
        <v>107</v>
      </c>
      <c r="D14" s="20" t="s">
        <v>108</v>
      </c>
      <c r="E14" s="20" t="s">
        <v>109</v>
      </c>
      <c r="F14" s="21" t="s">
        <v>56</v>
      </c>
      <c r="G14" s="21" t="s">
        <v>27</v>
      </c>
      <c r="H14" s="20" t="s">
        <v>97</v>
      </c>
      <c r="I14" s="22" t="s">
        <v>7</v>
      </c>
      <c r="J14" s="23">
        <v>46309</v>
      </c>
      <c r="K14" s="20" t="s">
        <v>58</v>
      </c>
      <c r="L14" s="20"/>
    </row>
    <row r="15" spans="1:12" x14ac:dyDescent="0.3">
      <c r="A15" s="19" t="s">
        <v>110</v>
      </c>
      <c r="B15" s="20" t="s">
        <v>19</v>
      </c>
      <c r="C15" s="20" t="s">
        <v>111</v>
      </c>
      <c r="D15" s="20" t="s">
        <v>112</v>
      </c>
      <c r="E15" s="20" t="s">
        <v>113</v>
      </c>
      <c r="F15" s="21" t="s">
        <v>56</v>
      </c>
      <c r="G15" s="21" t="s">
        <v>27</v>
      </c>
      <c r="H15" s="20" t="s">
        <v>97</v>
      </c>
      <c r="I15" s="22" t="s">
        <v>7</v>
      </c>
      <c r="J15" s="23">
        <v>46309</v>
      </c>
      <c r="K15" s="20" t="s">
        <v>58</v>
      </c>
      <c r="L15" s="20"/>
    </row>
    <row r="16" spans="1:12" x14ac:dyDescent="0.3">
      <c r="A16" s="19" t="s">
        <v>114</v>
      </c>
      <c r="B16" s="20" t="s">
        <v>19</v>
      </c>
      <c r="C16" s="20" t="s">
        <v>115</v>
      </c>
      <c r="D16" s="20" t="s">
        <v>116</v>
      </c>
      <c r="E16" s="20" t="s">
        <v>113</v>
      </c>
      <c r="F16" s="21" t="s">
        <v>56</v>
      </c>
      <c r="G16" s="21" t="s">
        <v>27</v>
      </c>
      <c r="H16" s="20" t="s">
        <v>97</v>
      </c>
      <c r="I16" s="22" t="s">
        <v>7</v>
      </c>
      <c r="J16" s="23">
        <v>46309</v>
      </c>
      <c r="K16" s="20" t="s">
        <v>58</v>
      </c>
      <c r="L16" s="20" t="s">
        <v>117</v>
      </c>
    </row>
    <row r="17" spans="1:12" x14ac:dyDescent="0.3">
      <c r="A17" s="19" t="s">
        <v>118</v>
      </c>
      <c r="B17" s="20" t="s">
        <v>19</v>
      </c>
      <c r="C17" s="20" t="s">
        <v>119</v>
      </c>
      <c r="D17" s="20" t="s">
        <v>120</v>
      </c>
      <c r="E17" s="20" t="s">
        <v>113</v>
      </c>
      <c r="F17" s="21" t="s">
        <v>56</v>
      </c>
      <c r="G17" s="21" t="s">
        <v>27</v>
      </c>
      <c r="H17" s="20" t="s">
        <v>97</v>
      </c>
      <c r="I17" s="22" t="s">
        <v>7</v>
      </c>
      <c r="J17" s="23">
        <v>46309</v>
      </c>
      <c r="K17" s="20" t="s">
        <v>58</v>
      </c>
      <c r="L17" s="20" t="s">
        <v>117</v>
      </c>
    </row>
    <row r="18" spans="1:12" x14ac:dyDescent="0.3">
      <c r="A18" s="19" t="s">
        <v>121</v>
      </c>
      <c r="B18" s="20" t="s">
        <v>19</v>
      </c>
      <c r="C18" s="20" t="s">
        <v>122</v>
      </c>
      <c r="D18" s="20" t="s">
        <v>123</v>
      </c>
      <c r="E18" s="20" t="s">
        <v>113</v>
      </c>
      <c r="F18" s="21" t="s">
        <v>67</v>
      </c>
      <c r="G18" s="21" t="s">
        <v>27</v>
      </c>
      <c r="H18" s="20" t="s">
        <v>97</v>
      </c>
      <c r="I18" s="22" t="s">
        <v>7</v>
      </c>
      <c r="J18" s="23">
        <v>46309</v>
      </c>
      <c r="K18" s="20" t="s">
        <v>58</v>
      </c>
      <c r="L18" s="20"/>
    </row>
    <row r="19" spans="1:12" x14ac:dyDescent="0.3">
      <c r="A19" s="19" t="s">
        <v>124</v>
      </c>
      <c r="B19" s="20" t="s">
        <v>19</v>
      </c>
      <c r="C19" s="20" t="s">
        <v>125</v>
      </c>
      <c r="D19" s="20" t="s">
        <v>126</v>
      </c>
      <c r="E19" s="20" t="s">
        <v>113</v>
      </c>
      <c r="F19" s="21" t="s">
        <v>67</v>
      </c>
      <c r="G19" s="21" t="s">
        <v>27</v>
      </c>
      <c r="H19" s="20" t="s">
        <v>97</v>
      </c>
      <c r="I19" s="22" t="s">
        <v>7</v>
      </c>
      <c r="J19" s="23">
        <v>46309</v>
      </c>
      <c r="K19" s="20" t="s">
        <v>58</v>
      </c>
      <c r="L19" s="20"/>
    </row>
    <row r="20" spans="1:12" ht="26.4" customHeight="1" x14ac:dyDescent="0.3">
      <c r="A20" s="19" t="s">
        <v>127</v>
      </c>
      <c r="B20" s="20" t="s">
        <v>19</v>
      </c>
      <c r="C20" s="20" t="s">
        <v>128</v>
      </c>
      <c r="D20" s="20" t="s">
        <v>129</v>
      </c>
      <c r="E20" s="20" t="s">
        <v>130</v>
      </c>
      <c r="F20" s="21" t="s">
        <v>56</v>
      </c>
      <c r="G20" s="21" t="s">
        <v>27</v>
      </c>
      <c r="H20" s="20" t="s">
        <v>131</v>
      </c>
      <c r="I20" s="22" t="s">
        <v>7</v>
      </c>
      <c r="J20" s="23">
        <v>46309</v>
      </c>
      <c r="K20" s="20" t="s">
        <v>132</v>
      </c>
      <c r="L20" s="20" t="s">
        <v>133</v>
      </c>
    </row>
    <row r="21" spans="1:12" ht="26.4" customHeight="1" x14ac:dyDescent="0.3">
      <c r="A21" s="19" t="s">
        <v>134</v>
      </c>
      <c r="B21" s="20" t="s">
        <v>19</v>
      </c>
      <c r="C21" s="20" t="s">
        <v>135</v>
      </c>
      <c r="D21" s="20" t="s">
        <v>136</v>
      </c>
      <c r="E21" s="20" t="s">
        <v>113</v>
      </c>
      <c r="F21" s="21" t="s">
        <v>67</v>
      </c>
      <c r="G21" s="21" t="s">
        <v>27</v>
      </c>
      <c r="H21" s="20" t="s">
        <v>131</v>
      </c>
      <c r="I21" s="22" t="s">
        <v>7</v>
      </c>
      <c r="J21" s="23">
        <v>46309</v>
      </c>
      <c r="K21" s="20" t="s">
        <v>132</v>
      </c>
      <c r="L21" s="20" t="s">
        <v>137</v>
      </c>
    </row>
    <row r="22" spans="1:12" ht="39.6" customHeight="1" x14ac:dyDescent="0.3">
      <c r="A22" s="19" t="s">
        <v>138</v>
      </c>
      <c r="B22" s="20" t="s">
        <v>20</v>
      </c>
      <c r="C22" s="20" t="s">
        <v>139</v>
      </c>
      <c r="D22" s="20" t="s">
        <v>140</v>
      </c>
      <c r="E22" s="20" t="s">
        <v>141</v>
      </c>
      <c r="F22" s="21" t="s">
        <v>56</v>
      </c>
      <c r="G22" s="21" t="s">
        <v>27</v>
      </c>
      <c r="H22" s="20" t="s">
        <v>142</v>
      </c>
      <c r="I22" s="22" t="s">
        <v>7</v>
      </c>
      <c r="J22" s="23">
        <v>46309</v>
      </c>
      <c r="K22" s="20" t="s">
        <v>143</v>
      </c>
      <c r="L22" s="20"/>
    </row>
    <row r="23" spans="1:12" ht="39.6" customHeight="1" x14ac:dyDescent="0.3">
      <c r="A23" s="19" t="s">
        <v>144</v>
      </c>
      <c r="B23" s="20" t="s">
        <v>20</v>
      </c>
      <c r="C23" s="20" t="s">
        <v>145</v>
      </c>
      <c r="D23" s="20" t="s">
        <v>140</v>
      </c>
      <c r="E23" s="20" t="s">
        <v>141</v>
      </c>
      <c r="F23" s="21" t="s">
        <v>56</v>
      </c>
      <c r="G23" s="21" t="s">
        <v>27</v>
      </c>
      <c r="H23" s="20" t="s">
        <v>146</v>
      </c>
      <c r="I23" s="22" t="s">
        <v>7</v>
      </c>
      <c r="J23" s="23">
        <v>46309</v>
      </c>
      <c r="K23" s="20" t="s">
        <v>143</v>
      </c>
      <c r="L23" s="20"/>
    </row>
    <row r="24" spans="1:12" ht="39.6" customHeight="1" x14ac:dyDescent="0.3">
      <c r="A24" s="19" t="s">
        <v>147</v>
      </c>
      <c r="B24" s="20" t="s">
        <v>20</v>
      </c>
      <c r="C24" s="20" t="s">
        <v>148</v>
      </c>
      <c r="D24" s="20" t="s">
        <v>140</v>
      </c>
      <c r="E24" s="20" t="s">
        <v>141</v>
      </c>
      <c r="F24" s="21" t="s">
        <v>56</v>
      </c>
      <c r="G24" s="21" t="s">
        <v>27</v>
      </c>
      <c r="H24" s="20" t="s">
        <v>149</v>
      </c>
      <c r="I24" s="22" t="s">
        <v>7</v>
      </c>
      <c r="J24" s="23">
        <v>46309</v>
      </c>
      <c r="K24" s="20" t="s">
        <v>143</v>
      </c>
      <c r="L24" s="20"/>
    </row>
    <row r="25" spans="1:12" ht="39.6" customHeight="1" x14ac:dyDescent="0.3">
      <c r="A25" s="19" t="s">
        <v>150</v>
      </c>
      <c r="B25" s="20" t="s">
        <v>20</v>
      </c>
      <c r="C25" s="20" t="s">
        <v>151</v>
      </c>
      <c r="D25" s="20" t="s">
        <v>140</v>
      </c>
      <c r="E25" s="20" t="s">
        <v>152</v>
      </c>
      <c r="F25" s="21" t="s">
        <v>56</v>
      </c>
      <c r="G25" s="21" t="s">
        <v>27</v>
      </c>
      <c r="H25" s="20" t="s">
        <v>153</v>
      </c>
      <c r="I25" s="22" t="s">
        <v>7</v>
      </c>
      <c r="J25" s="23">
        <v>46309</v>
      </c>
      <c r="K25" s="20" t="s">
        <v>143</v>
      </c>
      <c r="L25" s="20" t="s">
        <v>154</v>
      </c>
    </row>
    <row r="26" spans="1:12" ht="39.6" customHeight="1" x14ac:dyDescent="0.3">
      <c r="A26" s="19" t="s">
        <v>155</v>
      </c>
      <c r="B26" s="20" t="s">
        <v>20</v>
      </c>
      <c r="C26" s="20" t="s">
        <v>156</v>
      </c>
      <c r="D26" s="20" t="s">
        <v>140</v>
      </c>
      <c r="E26" s="20" t="s">
        <v>157</v>
      </c>
      <c r="F26" s="21" t="s">
        <v>56</v>
      </c>
      <c r="G26" s="21" t="s">
        <v>27</v>
      </c>
      <c r="H26" s="20" t="s">
        <v>158</v>
      </c>
      <c r="I26" s="22" t="s">
        <v>7</v>
      </c>
      <c r="J26" s="23">
        <v>46309</v>
      </c>
      <c r="K26" s="20" t="s">
        <v>143</v>
      </c>
      <c r="L26" s="20" t="s">
        <v>159</v>
      </c>
    </row>
    <row r="27" spans="1:12" ht="26.4" customHeight="1" x14ac:dyDescent="0.3">
      <c r="A27" s="19" t="s">
        <v>160</v>
      </c>
      <c r="B27" s="20" t="s">
        <v>20</v>
      </c>
      <c r="C27" s="20" t="s">
        <v>161</v>
      </c>
      <c r="D27" s="20" t="s">
        <v>140</v>
      </c>
      <c r="E27" s="20" t="s">
        <v>162</v>
      </c>
      <c r="F27" s="21" t="s">
        <v>67</v>
      </c>
      <c r="G27" s="21" t="s">
        <v>27</v>
      </c>
      <c r="H27" s="20" t="s">
        <v>163</v>
      </c>
      <c r="I27" s="22" t="s">
        <v>7</v>
      </c>
      <c r="J27" s="23">
        <v>46309</v>
      </c>
      <c r="K27" s="20" t="s">
        <v>143</v>
      </c>
      <c r="L27" s="20"/>
    </row>
    <row r="28" spans="1:12" ht="26.4" customHeight="1" x14ac:dyDescent="0.3">
      <c r="A28" s="19" t="s">
        <v>164</v>
      </c>
      <c r="B28" s="20" t="s">
        <v>20</v>
      </c>
      <c r="C28" s="20" t="s">
        <v>165</v>
      </c>
      <c r="D28" s="20" t="s">
        <v>166</v>
      </c>
      <c r="E28" s="20" t="s">
        <v>162</v>
      </c>
      <c r="F28" s="21" t="s">
        <v>67</v>
      </c>
      <c r="G28" s="21" t="s">
        <v>27</v>
      </c>
      <c r="H28" s="20" t="s">
        <v>167</v>
      </c>
      <c r="I28" s="24" t="s">
        <v>8</v>
      </c>
      <c r="J28" s="25">
        <v>46309</v>
      </c>
      <c r="K28" s="26" t="s">
        <v>143</v>
      </c>
      <c r="L28" s="26" t="s">
        <v>168</v>
      </c>
    </row>
    <row r="29" spans="1:12" ht="39.6" customHeight="1" x14ac:dyDescent="0.3">
      <c r="A29" s="19" t="s">
        <v>169</v>
      </c>
      <c r="B29" s="20" t="s">
        <v>21</v>
      </c>
      <c r="C29" s="20" t="s">
        <v>170</v>
      </c>
      <c r="D29" s="20" t="s">
        <v>171</v>
      </c>
      <c r="E29" s="20" t="s">
        <v>172</v>
      </c>
      <c r="F29" s="21" t="s">
        <v>56</v>
      </c>
      <c r="G29" s="21" t="s">
        <v>28</v>
      </c>
      <c r="H29" s="20" t="s">
        <v>173</v>
      </c>
      <c r="I29" s="24" t="s">
        <v>6</v>
      </c>
      <c r="J29" s="25"/>
      <c r="K29" s="26"/>
      <c r="L29" s="26" t="s">
        <v>174</v>
      </c>
    </row>
    <row r="30" spans="1:12" x14ac:dyDescent="0.3">
      <c r="A30" s="19" t="s">
        <v>175</v>
      </c>
      <c r="B30" s="20" t="s">
        <v>21</v>
      </c>
      <c r="C30" s="20" t="s">
        <v>176</v>
      </c>
      <c r="D30" s="20" t="s">
        <v>177</v>
      </c>
      <c r="E30" s="20" t="s">
        <v>178</v>
      </c>
      <c r="F30" s="21" t="s">
        <v>56</v>
      </c>
      <c r="G30" s="21" t="s">
        <v>28</v>
      </c>
      <c r="H30" s="20" t="s">
        <v>173</v>
      </c>
      <c r="I30" s="24" t="s">
        <v>6</v>
      </c>
      <c r="J30" s="25"/>
      <c r="K30" s="26"/>
      <c r="L30" s="26"/>
    </row>
    <row r="31" spans="1:12" ht="26.4" customHeight="1" x14ac:dyDescent="0.3">
      <c r="A31" s="19" t="s">
        <v>179</v>
      </c>
      <c r="B31" s="20" t="s">
        <v>21</v>
      </c>
      <c r="C31" s="20" t="s">
        <v>180</v>
      </c>
      <c r="D31" s="20" t="s">
        <v>181</v>
      </c>
      <c r="E31" s="20" t="s">
        <v>182</v>
      </c>
      <c r="F31" s="21" t="s">
        <v>67</v>
      </c>
      <c r="G31" s="21" t="s">
        <v>28</v>
      </c>
      <c r="H31" s="20" t="s">
        <v>173</v>
      </c>
      <c r="I31" s="24" t="s">
        <v>6</v>
      </c>
      <c r="J31" s="25"/>
      <c r="K31" s="26"/>
      <c r="L31" s="26"/>
    </row>
    <row r="32" spans="1:12" ht="39.6" customHeight="1" x14ac:dyDescent="0.3">
      <c r="A32" s="19" t="s">
        <v>183</v>
      </c>
      <c r="B32" s="20" t="s">
        <v>21</v>
      </c>
      <c r="C32" s="20" t="s">
        <v>184</v>
      </c>
      <c r="D32" s="20" t="s">
        <v>185</v>
      </c>
      <c r="E32" s="20" t="s">
        <v>186</v>
      </c>
      <c r="F32" s="21" t="s">
        <v>56</v>
      </c>
      <c r="G32" s="21" t="s">
        <v>28</v>
      </c>
      <c r="H32" s="20" t="s">
        <v>173</v>
      </c>
      <c r="I32" s="24" t="s">
        <v>6</v>
      </c>
      <c r="J32" s="25"/>
      <c r="K32" s="26"/>
      <c r="L32" s="26" t="s">
        <v>187</v>
      </c>
    </row>
    <row r="33" spans="1:12" ht="26.4" customHeight="1" x14ac:dyDescent="0.3">
      <c r="A33" s="19" t="s">
        <v>188</v>
      </c>
      <c r="B33" s="20" t="s">
        <v>21</v>
      </c>
      <c r="C33" s="20" t="s">
        <v>189</v>
      </c>
      <c r="D33" s="20" t="s">
        <v>190</v>
      </c>
      <c r="E33" s="20" t="s">
        <v>191</v>
      </c>
      <c r="F33" s="21" t="s">
        <v>192</v>
      </c>
      <c r="G33" s="21" t="s">
        <v>28</v>
      </c>
      <c r="H33" s="20" t="s">
        <v>173</v>
      </c>
      <c r="I33" s="24" t="s">
        <v>6</v>
      </c>
      <c r="J33" s="25"/>
      <c r="K33" s="26"/>
      <c r="L33" s="26"/>
    </row>
    <row r="34" spans="1:12" ht="26.4" customHeight="1" x14ac:dyDescent="0.3">
      <c r="A34" s="19" t="s">
        <v>193</v>
      </c>
      <c r="B34" s="20" t="s">
        <v>21</v>
      </c>
      <c r="C34" s="20" t="s">
        <v>194</v>
      </c>
      <c r="D34" s="20" t="s">
        <v>195</v>
      </c>
      <c r="E34" s="20" t="s">
        <v>196</v>
      </c>
      <c r="F34" s="21" t="s">
        <v>67</v>
      </c>
      <c r="G34" s="21" t="s">
        <v>28</v>
      </c>
      <c r="H34" s="20" t="s">
        <v>173</v>
      </c>
      <c r="I34" s="24" t="s">
        <v>6</v>
      </c>
      <c r="J34" s="25"/>
      <c r="K34" s="26"/>
      <c r="L34" s="26"/>
    </row>
    <row r="35" spans="1:12" ht="26.4" customHeight="1" x14ac:dyDescent="0.3">
      <c r="A35" s="19" t="s">
        <v>197</v>
      </c>
      <c r="B35" s="20" t="s">
        <v>21</v>
      </c>
      <c r="C35" s="20" t="s">
        <v>198</v>
      </c>
      <c r="D35" s="20" t="s">
        <v>199</v>
      </c>
      <c r="E35" s="20" t="s">
        <v>200</v>
      </c>
      <c r="F35" s="21" t="s">
        <v>67</v>
      </c>
      <c r="G35" s="21" t="s">
        <v>28</v>
      </c>
      <c r="H35" s="20" t="s">
        <v>173</v>
      </c>
      <c r="I35" s="24" t="s">
        <v>6</v>
      </c>
      <c r="J35" s="25"/>
      <c r="K35" s="26"/>
      <c r="L35" s="26"/>
    </row>
    <row r="36" spans="1:12" ht="52.8" customHeight="1" x14ac:dyDescent="0.3">
      <c r="A36" s="19" t="s">
        <v>201</v>
      </c>
      <c r="B36" s="20" t="s">
        <v>22</v>
      </c>
      <c r="C36" s="20" t="s">
        <v>202</v>
      </c>
      <c r="D36" s="20" t="s">
        <v>203</v>
      </c>
      <c r="E36" s="20" t="s">
        <v>204</v>
      </c>
      <c r="F36" s="21" t="s">
        <v>56</v>
      </c>
      <c r="G36" s="21" t="s">
        <v>28</v>
      </c>
      <c r="H36" s="20" t="s">
        <v>173</v>
      </c>
      <c r="I36" s="24" t="s">
        <v>6</v>
      </c>
      <c r="J36" s="25"/>
      <c r="K36" s="26"/>
      <c r="L36" s="26" t="s">
        <v>205</v>
      </c>
    </row>
    <row r="37" spans="1:12" ht="26.4" customHeight="1" x14ac:dyDescent="0.3">
      <c r="A37" s="19" t="s">
        <v>206</v>
      </c>
      <c r="B37" s="20" t="s">
        <v>22</v>
      </c>
      <c r="C37" s="20" t="s">
        <v>207</v>
      </c>
      <c r="D37" s="20" t="s">
        <v>208</v>
      </c>
      <c r="E37" s="20" t="s">
        <v>209</v>
      </c>
      <c r="F37" s="21" t="s">
        <v>67</v>
      </c>
      <c r="G37" s="21" t="s">
        <v>28</v>
      </c>
      <c r="H37" s="20" t="s">
        <v>173</v>
      </c>
      <c r="I37" s="24" t="s">
        <v>6</v>
      </c>
      <c r="J37" s="25"/>
      <c r="K37" s="26"/>
      <c r="L37" s="26"/>
    </row>
    <row r="38" spans="1:12" ht="26.4" customHeight="1" x14ac:dyDescent="0.3">
      <c r="A38" s="19" t="s">
        <v>210</v>
      </c>
      <c r="B38" s="20" t="s">
        <v>22</v>
      </c>
      <c r="C38" s="20" t="s">
        <v>211</v>
      </c>
      <c r="D38" s="20" t="s">
        <v>212</v>
      </c>
      <c r="E38" s="20" t="s">
        <v>213</v>
      </c>
      <c r="F38" s="21" t="s">
        <v>67</v>
      </c>
      <c r="G38" s="21" t="s">
        <v>28</v>
      </c>
      <c r="H38" s="20" t="s">
        <v>173</v>
      </c>
      <c r="I38" s="24" t="s">
        <v>6</v>
      </c>
      <c r="J38" s="25"/>
      <c r="K38" s="26"/>
      <c r="L38" s="26"/>
    </row>
    <row r="39" spans="1:12" ht="26.4" customHeight="1" x14ac:dyDescent="0.3">
      <c r="A39" s="19" t="s">
        <v>214</v>
      </c>
      <c r="B39" s="20" t="s">
        <v>22</v>
      </c>
      <c r="C39" s="20" t="s">
        <v>215</v>
      </c>
      <c r="D39" s="20" t="s">
        <v>216</v>
      </c>
      <c r="E39" s="20" t="s">
        <v>217</v>
      </c>
      <c r="F39" s="21" t="s">
        <v>67</v>
      </c>
      <c r="G39" s="21" t="s">
        <v>28</v>
      </c>
      <c r="H39" s="20" t="s">
        <v>173</v>
      </c>
      <c r="I39" s="24" t="s">
        <v>6</v>
      </c>
      <c r="J39" s="25"/>
      <c r="K39" s="26"/>
      <c r="L39" s="26"/>
    </row>
    <row r="40" spans="1:12" ht="26.4" customHeight="1" x14ac:dyDescent="0.3">
      <c r="A40" s="19" t="s">
        <v>218</v>
      </c>
      <c r="B40" s="20" t="s">
        <v>22</v>
      </c>
      <c r="C40" s="20" t="s">
        <v>219</v>
      </c>
      <c r="D40" s="20" t="s">
        <v>220</v>
      </c>
      <c r="E40" s="20" t="s">
        <v>221</v>
      </c>
      <c r="F40" s="21" t="s">
        <v>56</v>
      </c>
      <c r="G40" s="21" t="s">
        <v>28</v>
      </c>
      <c r="H40" s="20" t="s">
        <v>173</v>
      </c>
      <c r="I40" s="24" t="s">
        <v>6</v>
      </c>
      <c r="J40" s="25"/>
      <c r="K40" s="26"/>
      <c r="L40" s="26" t="s">
        <v>222</v>
      </c>
    </row>
    <row r="41" spans="1:12" ht="26.4" customHeight="1" x14ac:dyDescent="0.3">
      <c r="A41" s="19" t="s">
        <v>223</v>
      </c>
      <c r="B41" s="20" t="s">
        <v>22</v>
      </c>
      <c r="C41" s="20" t="s">
        <v>224</v>
      </c>
      <c r="D41" s="20" t="s">
        <v>225</v>
      </c>
      <c r="E41" s="20" t="s">
        <v>226</v>
      </c>
      <c r="F41" s="21" t="s">
        <v>192</v>
      </c>
      <c r="G41" s="21" t="s">
        <v>28</v>
      </c>
      <c r="H41" s="20" t="s">
        <v>173</v>
      </c>
      <c r="I41" s="24" t="s">
        <v>6</v>
      </c>
      <c r="J41" s="25"/>
      <c r="K41" s="26"/>
      <c r="L41" s="26" t="s">
        <v>227</v>
      </c>
    </row>
    <row r="42" spans="1:12" ht="26.4" customHeight="1" x14ac:dyDescent="0.3">
      <c r="A42" s="19" t="s">
        <v>228</v>
      </c>
      <c r="B42" s="20" t="s">
        <v>23</v>
      </c>
      <c r="C42" s="20" t="s">
        <v>229</v>
      </c>
      <c r="D42" s="20" t="s">
        <v>230</v>
      </c>
      <c r="E42" s="20" t="s">
        <v>231</v>
      </c>
      <c r="F42" s="21" t="s">
        <v>56</v>
      </c>
      <c r="G42" s="21" t="s">
        <v>28</v>
      </c>
      <c r="H42" s="20" t="s">
        <v>232</v>
      </c>
      <c r="I42" s="24" t="s">
        <v>7</v>
      </c>
      <c r="J42" s="25">
        <v>46309</v>
      </c>
      <c r="K42" s="26" t="s">
        <v>132</v>
      </c>
      <c r="L42" s="26" t="s">
        <v>233</v>
      </c>
    </row>
    <row r="43" spans="1:12" ht="39.6" customHeight="1" x14ac:dyDescent="0.3">
      <c r="A43" s="19" t="s">
        <v>234</v>
      </c>
      <c r="B43" s="20" t="s">
        <v>23</v>
      </c>
      <c r="C43" s="20" t="s">
        <v>235</v>
      </c>
      <c r="D43" s="20" t="s">
        <v>236</v>
      </c>
      <c r="E43" s="20" t="s">
        <v>237</v>
      </c>
      <c r="F43" s="21" t="s">
        <v>56</v>
      </c>
      <c r="G43" s="21" t="s">
        <v>28</v>
      </c>
      <c r="H43" s="20" t="s">
        <v>238</v>
      </c>
      <c r="I43" s="24" t="s">
        <v>7</v>
      </c>
      <c r="J43" s="25">
        <v>46309</v>
      </c>
      <c r="K43" s="26" t="s">
        <v>132</v>
      </c>
      <c r="L43" s="26" t="s">
        <v>239</v>
      </c>
    </row>
    <row r="44" spans="1:12" ht="39.6" customHeight="1" x14ac:dyDescent="0.3">
      <c r="A44" s="19" t="s">
        <v>240</v>
      </c>
      <c r="B44" s="20" t="s">
        <v>23</v>
      </c>
      <c r="C44" s="20" t="s">
        <v>241</v>
      </c>
      <c r="D44" s="20" t="s">
        <v>242</v>
      </c>
      <c r="E44" s="20" t="s">
        <v>243</v>
      </c>
      <c r="F44" s="21" t="s">
        <v>67</v>
      </c>
      <c r="G44" s="21" t="s">
        <v>28</v>
      </c>
      <c r="H44" s="20" t="s">
        <v>244</v>
      </c>
      <c r="I44" s="24" t="s">
        <v>7</v>
      </c>
      <c r="J44" s="25">
        <v>46309</v>
      </c>
      <c r="K44" s="26" t="s">
        <v>132</v>
      </c>
      <c r="L44" s="26" t="s">
        <v>245</v>
      </c>
    </row>
    <row r="45" spans="1:12" ht="39.6" customHeight="1" x14ac:dyDescent="0.3">
      <c r="A45" s="19" t="s">
        <v>246</v>
      </c>
      <c r="B45" s="20" t="s">
        <v>23</v>
      </c>
      <c r="C45" s="20" t="s">
        <v>247</v>
      </c>
      <c r="D45" s="20" t="s">
        <v>248</v>
      </c>
      <c r="E45" s="20" t="s">
        <v>249</v>
      </c>
      <c r="F45" s="21" t="s">
        <v>67</v>
      </c>
      <c r="G45" s="21" t="s">
        <v>28</v>
      </c>
      <c r="H45" s="20" t="s">
        <v>250</v>
      </c>
      <c r="I45" s="24" t="s">
        <v>7</v>
      </c>
      <c r="J45" s="25">
        <v>46309</v>
      </c>
      <c r="K45" s="26" t="s">
        <v>132</v>
      </c>
      <c r="L45" s="26" t="s">
        <v>251</v>
      </c>
    </row>
    <row r="46" spans="1:12" ht="39.6" customHeight="1" x14ac:dyDescent="0.3">
      <c r="A46" s="19" t="s">
        <v>252</v>
      </c>
      <c r="B46" s="20" t="s">
        <v>23</v>
      </c>
      <c r="C46" s="20" t="s">
        <v>253</v>
      </c>
      <c r="D46" s="20" t="s">
        <v>254</v>
      </c>
      <c r="E46" s="20" t="s">
        <v>255</v>
      </c>
      <c r="F46" s="21" t="s">
        <v>56</v>
      </c>
      <c r="G46" s="21" t="s">
        <v>28</v>
      </c>
      <c r="H46" s="20" t="s">
        <v>256</v>
      </c>
      <c r="I46" s="24" t="s">
        <v>7</v>
      </c>
      <c r="J46" s="25">
        <v>46309</v>
      </c>
      <c r="K46" s="26" t="s">
        <v>132</v>
      </c>
      <c r="L46" s="26" t="s">
        <v>257</v>
      </c>
    </row>
    <row r="47" spans="1:12" ht="26.4" customHeight="1" x14ac:dyDescent="0.3">
      <c r="A47" s="19" t="s">
        <v>258</v>
      </c>
      <c r="B47" s="20" t="s">
        <v>23</v>
      </c>
      <c r="C47" s="20" t="s">
        <v>259</v>
      </c>
      <c r="D47" s="20" t="s">
        <v>260</v>
      </c>
      <c r="E47" s="20" t="s">
        <v>261</v>
      </c>
      <c r="F47" s="21" t="s">
        <v>67</v>
      </c>
      <c r="G47" s="21" t="s">
        <v>28</v>
      </c>
      <c r="H47" s="20" t="s">
        <v>262</v>
      </c>
      <c r="I47" s="24" t="s">
        <v>7</v>
      </c>
      <c r="J47" s="25">
        <v>46309</v>
      </c>
      <c r="K47" s="26" t="s">
        <v>132</v>
      </c>
      <c r="L47" s="26" t="s">
        <v>263</v>
      </c>
    </row>
    <row r="48" spans="1:12" ht="26.4" customHeight="1" x14ac:dyDescent="0.3">
      <c r="A48" s="19" t="s">
        <v>264</v>
      </c>
      <c r="B48" s="20" t="s">
        <v>23</v>
      </c>
      <c r="C48" s="20" t="s">
        <v>265</v>
      </c>
      <c r="D48" s="20" t="s">
        <v>266</v>
      </c>
      <c r="E48" s="20" t="s">
        <v>267</v>
      </c>
      <c r="F48" s="21" t="s">
        <v>56</v>
      </c>
      <c r="G48" s="21" t="s">
        <v>28</v>
      </c>
      <c r="H48" s="20" t="s">
        <v>268</v>
      </c>
      <c r="I48" s="24" t="s">
        <v>7</v>
      </c>
      <c r="J48" s="25">
        <v>46309</v>
      </c>
      <c r="K48" s="26" t="s">
        <v>132</v>
      </c>
      <c r="L48" s="26" t="s">
        <v>269</v>
      </c>
    </row>
    <row r="49" spans="1:12" ht="26.4" customHeight="1" x14ac:dyDescent="0.3">
      <c r="A49" s="19" t="s">
        <v>270</v>
      </c>
      <c r="B49" s="20" t="s">
        <v>23</v>
      </c>
      <c r="C49" s="20" t="s">
        <v>271</v>
      </c>
      <c r="D49" s="20" t="s">
        <v>272</v>
      </c>
      <c r="E49" s="20" t="s">
        <v>273</v>
      </c>
      <c r="F49" s="21" t="s">
        <v>67</v>
      </c>
      <c r="G49" s="21" t="s">
        <v>28</v>
      </c>
      <c r="H49" s="20" t="s">
        <v>274</v>
      </c>
      <c r="I49" s="24" t="s">
        <v>7</v>
      </c>
      <c r="J49" s="25">
        <v>46309</v>
      </c>
      <c r="K49" s="26" t="s">
        <v>132</v>
      </c>
      <c r="L49" s="26" t="s">
        <v>275</v>
      </c>
    </row>
    <row r="50" spans="1:12" ht="26.4" customHeight="1" x14ac:dyDescent="0.3">
      <c r="A50" s="19" t="s">
        <v>276</v>
      </c>
      <c r="B50" s="20" t="s">
        <v>23</v>
      </c>
      <c r="C50" s="20" t="s">
        <v>277</v>
      </c>
      <c r="D50" s="20" t="s">
        <v>278</v>
      </c>
      <c r="E50" s="20" t="s">
        <v>279</v>
      </c>
      <c r="F50" s="21" t="s">
        <v>192</v>
      </c>
      <c r="G50" s="21" t="s">
        <v>28</v>
      </c>
      <c r="H50" s="20" t="s">
        <v>280</v>
      </c>
      <c r="I50" s="24" t="s">
        <v>7</v>
      </c>
      <c r="J50" s="25">
        <v>46309</v>
      </c>
      <c r="K50" s="26" t="s">
        <v>132</v>
      </c>
      <c r="L50" s="26" t="s">
        <v>281</v>
      </c>
    </row>
    <row r="51" spans="1:12" ht="26.4" customHeight="1" x14ac:dyDescent="0.3">
      <c r="A51" s="19" t="s">
        <v>282</v>
      </c>
      <c r="B51" s="20" t="s">
        <v>23</v>
      </c>
      <c r="C51" s="20" t="s">
        <v>283</v>
      </c>
      <c r="D51" s="20" t="s">
        <v>284</v>
      </c>
      <c r="E51" s="20" t="s">
        <v>285</v>
      </c>
      <c r="F51" s="21" t="s">
        <v>67</v>
      </c>
      <c r="G51" s="21" t="s">
        <v>28</v>
      </c>
      <c r="H51" s="20" t="s">
        <v>286</v>
      </c>
      <c r="I51" s="24" t="s">
        <v>6</v>
      </c>
      <c r="J51" s="25"/>
      <c r="K51" s="26"/>
      <c r="L51" s="26" t="s">
        <v>287</v>
      </c>
    </row>
    <row r="52" spans="1:12" ht="39.6" customHeight="1" x14ac:dyDescent="0.3">
      <c r="A52" s="19" t="s">
        <v>288</v>
      </c>
      <c r="B52" s="20" t="s">
        <v>23</v>
      </c>
      <c r="C52" s="20" t="s">
        <v>289</v>
      </c>
      <c r="D52" s="20" t="s">
        <v>290</v>
      </c>
      <c r="E52" s="20" t="s">
        <v>291</v>
      </c>
      <c r="F52" s="21" t="s">
        <v>192</v>
      </c>
      <c r="G52" s="21" t="s">
        <v>28</v>
      </c>
      <c r="H52" s="20" t="s">
        <v>292</v>
      </c>
      <c r="I52" s="24" t="s">
        <v>7</v>
      </c>
      <c r="J52" s="25">
        <v>46309</v>
      </c>
      <c r="K52" s="26" t="s">
        <v>132</v>
      </c>
      <c r="L52" s="26" t="s">
        <v>293</v>
      </c>
    </row>
    <row r="53" spans="1:12" ht="26.4" customHeight="1" x14ac:dyDescent="0.3">
      <c r="A53" s="19" t="s">
        <v>294</v>
      </c>
      <c r="B53" s="20" t="s">
        <v>23</v>
      </c>
      <c r="C53" s="20" t="s">
        <v>295</v>
      </c>
      <c r="D53" s="20" t="s">
        <v>296</v>
      </c>
      <c r="E53" s="20" t="s">
        <v>297</v>
      </c>
      <c r="F53" s="21" t="s">
        <v>67</v>
      </c>
      <c r="G53" s="21" t="s">
        <v>28</v>
      </c>
      <c r="H53" s="20" t="s">
        <v>298</v>
      </c>
      <c r="I53" s="24" t="s">
        <v>7</v>
      </c>
      <c r="J53" s="25">
        <v>46309</v>
      </c>
      <c r="K53" s="26" t="s">
        <v>132</v>
      </c>
      <c r="L53" s="26" t="s">
        <v>299</v>
      </c>
    </row>
    <row r="54" spans="1:12" ht="26.4" customHeight="1" x14ac:dyDescent="0.3">
      <c r="A54" s="19" t="s">
        <v>300</v>
      </c>
      <c r="B54" s="20" t="s">
        <v>24</v>
      </c>
      <c r="C54" s="20" t="s">
        <v>301</v>
      </c>
      <c r="D54" s="20" t="s">
        <v>302</v>
      </c>
      <c r="E54" s="20" t="s">
        <v>303</v>
      </c>
      <c r="F54" s="21" t="s">
        <v>56</v>
      </c>
      <c r="G54" s="21" t="s">
        <v>28</v>
      </c>
      <c r="H54" s="20" t="s">
        <v>173</v>
      </c>
      <c r="I54" s="24" t="s">
        <v>6</v>
      </c>
      <c r="J54" s="25"/>
      <c r="K54" s="26"/>
      <c r="L54" s="26"/>
    </row>
    <row r="55" spans="1:12" ht="26.4" customHeight="1" x14ac:dyDescent="0.3">
      <c r="A55" s="19" t="s">
        <v>304</v>
      </c>
      <c r="B55" s="20" t="s">
        <v>24</v>
      </c>
      <c r="C55" s="20" t="s">
        <v>305</v>
      </c>
      <c r="D55" s="20" t="s">
        <v>302</v>
      </c>
      <c r="E55" s="20" t="s">
        <v>303</v>
      </c>
      <c r="F55" s="21" t="s">
        <v>67</v>
      </c>
      <c r="G55" s="21" t="s">
        <v>28</v>
      </c>
      <c r="H55" s="20" t="s">
        <v>173</v>
      </c>
      <c r="I55" s="24" t="s">
        <v>6</v>
      </c>
      <c r="J55" s="25"/>
      <c r="K55" s="26"/>
      <c r="L55" s="26"/>
    </row>
    <row r="56" spans="1:12" ht="26.4" customHeight="1" x14ac:dyDescent="0.3">
      <c r="A56" s="19" t="s">
        <v>306</v>
      </c>
      <c r="B56" s="20" t="s">
        <v>24</v>
      </c>
      <c r="C56" s="20" t="s">
        <v>307</v>
      </c>
      <c r="D56" s="20" t="s">
        <v>302</v>
      </c>
      <c r="E56" s="20" t="s">
        <v>308</v>
      </c>
      <c r="F56" s="21" t="s">
        <v>67</v>
      </c>
      <c r="G56" s="21" t="s">
        <v>28</v>
      </c>
      <c r="H56" s="20" t="s">
        <v>173</v>
      </c>
      <c r="I56" s="24" t="s">
        <v>6</v>
      </c>
      <c r="J56" s="25"/>
      <c r="K56" s="26"/>
      <c r="L56" s="26"/>
    </row>
    <row r="57" spans="1:12" ht="26.4" customHeight="1" x14ac:dyDescent="0.3">
      <c r="A57" s="19" t="s">
        <v>309</v>
      </c>
      <c r="B57" s="20" t="s">
        <v>24</v>
      </c>
      <c r="C57" s="20" t="s">
        <v>310</v>
      </c>
      <c r="D57" s="20" t="s">
        <v>311</v>
      </c>
      <c r="E57" s="20" t="s">
        <v>312</v>
      </c>
      <c r="F57" s="21" t="s">
        <v>67</v>
      </c>
      <c r="G57" s="21" t="s">
        <v>28</v>
      </c>
      <c r="H57" s="20" t="s">
        <v>173</v>
      </c>
      <c r="I57" s="24" t="s">
        <v>6</v>
      </c>
      <c r="J57" s="25"/>
      <c r="K57" s="26"/>
      <c r="L57" s="26" t="s">
        <v>313</v>
      </c>
    </row>
    <row r="58" spans="1:12" ht="26.4" customHeight="1" x14ac:dyDescent="0.3">
      <c r="A58" s="19" t="s">
        <v>314</v>
      </c>
      <c r="B58" s="20" t="s">
        <v>24</v>
      </c>
      <c r="C58" s="20" t="s">
        <v>315</v>
      </c>
      <c r="D58" s="20" t="s">
        <v>316</v>
      </c>
      <c r="E58" s="20" t="s">
        <v>317</v>
      </c>
      <c r="F58" s="21" t="s">
        <v>192</v>
      </c>
      <c r="G58" s="21" t="s">
        <v>28</v>
      </c>
      <c r="H58" s="20" t="s">
        <v>173</v>
      </c>
      <c r="I58" s="24" t="s">
        <v>6</v>
      </c>
      <c r="J58" s="25"/>
      <c r="K58" s="26"/>
      <c r="L58" s="26"/>
    </row>
    <row r="59" spans="1:12" ht="39.6" customHeight="1" x14ac:dyDescent="0.3">
      <c r="A59" s="19" t="s">
        <v>318</v>
      </c>
      <c r="B59" s="20" t="s">
        <v>24</v>
      </c>
      <c r="C59" s="20" t="s">
        <v>319</v>
      </c>
      <c r="D59" s="20" t="s">
        <v>320</v>
      </c>
      <c r="E59" s="20" t="s">
        <v>321</v>
      </c>
      <c r="F59" s="21" t="s">
        <v>192</v>
      </c>
      <c r="G59" s="21" t="s">
        <v>28</v>
      </c>
      <c r="H59" s="20" t="s">
        <v>173</v>
      </c>
      <c r="I59" s="24" t="s">
        <v>6</v>
      </c>
      <c r="J59" s="25"/>
      <c r="K59" s="26"/>
      <c r="L59" s="26" t="s">
        <v>322</v>
      </c>
    </row>
    <row r="60" spans="1:12" ht="26.4" customHeight="1" x14ac:dyDescent="0.3">
      <c r="A60" s="19" t="s">
        <v>323</v>
      </c>
      <c r="B60" s="20" t="s">
        <v>20</v>
      </c>
      <c r="C60" s="20" t="s">
        <v>324</v>
      </c>
      <c r="D60" s="20" t="s">
        <v>140</v>
      </c>
      <c r="E60" s="20" t="s">
        <v>325</v>
      </c>
      <c r="F60" s="21" t="s">
        <v>67</v>
      </c>
      <c r="G60" s="21" t="s">
        <v>27</v>
      </c>
      <c r="H60" s="20" t="s">
        <v>326</v>
      </c>
      <c r="I60" s="22" t="s">
        <v>7</v>
      </c>
      <c r="J60" s="23">
        <v>46309</v>
      </c>
      <c r="K60" s="20" t="s">
        <v>143</v>
      </c>
      <c r="L60" s="20" t="s">
        <v>327</v>
      </c>
    </row>
    <row r="61" spans="1:12" ht="26.4" customHeight="1" x14ac:dyDescent="0.3">
      <c r="A61" s="19" t="s">
        <v>328</v>
      </c>
      <c r="B61" s="20" t="s">
        <v>20</v>
      </c>
      <c r="C61" s="20" t="s">
        <v>329</v>
      </c>
      <c r="D61" s="20" t="s">
        <v>140</v>
      </c>
      <c r="E61" s="20" t="s">
        <v>330</v>
      </c>
      <c r="F61" s="21" t="s">
        <v>67</v>
      </c>
      <c r="G61" s="21" t="s">
        <v>27</v>
      </c>
      <c r="H61" s="20" t="s">
        <v>331</v>
      </c>
      <c r="I61" s="22" t="s">
        <v>7</v>
      </c>
      <c r="J61" s="23">
        <v>46309</v>
      </c>
      <c r="K61" s="20" t="s">
        <v>143</v>
      </c>
      <c r="L61" s="20"/>
    </row>
    <row r="62" spans="1:12" ht="39.6" customHeight="1" x14ac:dyDescent="0.3">
      <c r="A62" s="19" t="s">
        <v>332</v>
      </c>
      <c r="B62" s="20" t="s">
        <v>20</v>
      </c>
      <c r="C62" s="20" t="s">
        <v>333</v>
      </c>
      <c r="D62" s="20" t="s">
        <v>140</v>
      </c>
      <c r="E62" s="20" t="s">
        <v>334</v>
      </c>
      <c r="F62" s="21" t="s">
        <v>67</v>
      </c>
      <c r="G62" s="21" t="s">
        <v>27</v>
      </c>
      <c r="H62" s="20" t="s">
        <v>335</v>
      </c>
      <c r="I62" s="22" t="s">
        <v>7</v>
      </c>
      <c r="J62" s="23">
        <v>46309</v>
      </c>
      <c r="K62" s="20" t="s">
        <v>143</v>
      </c>
      <c r="L62" s="20"/>
    </row>
    <row r="63" spans="1:12" ht="52.8" customHeight="1" x14ac:dyDescent="0.3">
      <c r="A63" s="19" t="s">
        <v>336</v>
      </c>
      <c r="B63" s="20" t="s">
        <v>22</v>
      </c>
      <c r="C63" s="20" t="s">
        <v>337</v>
      </c>
      <c r="D63" s="20" t="s">
        <v>338</v>
      </c>
      <c r="E63" s="20" t="s">
        <v>339</v>
      </c>
      <c r="F63" s="21" t="s">
        <v>56</v>
      </c>
      <c r="G63" s="21" t="s">
        <v>28</v>
      </c>
      <c r="H63" s="20" t="s">
        <v>173</v>
      </c>
      <c r="I63" s="24" t="s">
        <v>6</v>
      </c>
      <c r="J63" s="25"/>
      <c r="K63" s="26"/>
      <c r="L63" s="26" t="s">
        <v>340</v>
      </c>
    </row>
    <row r="64" spans="1:12" ht="39.6" customHeight="1" x14ac:dyDescent="0.3">
      <c r="A64" s="19" t="s">
        <v>341</v>
      </c>
      <c r="B64" s="20" t="s">
        <v>19</v>
      </c>
      <c r="C64" s="20" t="s">
        <v>342</v>
      </c>
      <c r="D64" s="20" t="s">
        <v>343</v>
      </c>
      <c r="E64" s="20" t="s">
        <v>344</v>
      </c>
      <c r="F64" s="21" t="s">
        <v>56</v>
      </c>
      <c r="G64" s="21" t="s">
        <v>27</v>
      </c>
      <c r="H64" s="20" t="s">
        <v>345</v>
      </c>
      <c r="I64" s="22" t="s">
        <v>7</v>
      </c>
      <c r="J64" s="23">
        <v>46309</v>
      </c>
      <c r="K64" s="20" t="s">
        <v>132</v>
      </c>
      <c r="L64" s="20" t="s">
        <v>346</v>
      </c>
    </row>
    <row r="65" spans="1:12" ht="39.6" customHeight="1" x14ac:dyDescent="0.3">
      <c r="A65" s="19" t="s">
        <v>347</v>
      </c>
      <c r="B65" s="20" t="s">
        <v>19</v>
      </c>
      <c r="C65" s="20" t="s">
        <v>348</v>
      </c>
      <c r="D65" s="20" t="s">
        <v>349</v>
      </c>
      <c r="E65" s="20" t="s">
        <v>350</v>
      </c>
      <c r="F65" s="21" t="s">
        <v>56</v>
      </c>
      <c r="G65" s="21" t="s">
        <v>27</v>
      </c>
      <c r="H65" s="20" t="s">
        <v>345</v>
      </c>
      <c r="I65" s="22" t="s">
        <v>7</v>
      </c>
      <c r="J65" s="23">
        <v>46309</v>
      </c>
      <c r="K65" s="20" t="s">
        <v>132</v>
      </c>
      <c r="L65" s="20" t="s">
        <v>346</v>
      </c>
    </row>
    <row r="66" spans="1:12" ht="39.6" customHeight="1" x14ac:dyDescent="0.3">
      <c r="A66" s="19" t="s">
        <v>351</v>
      </c>
      <c r="B66" s="20" t="s">
        <v>19</v>
      </c>
      <c r="C66" s="20" t="s">
        <v>352</v>
      </c>
      <c r="D66" s="20" t="s">
        <v>353</v>
      </c>
      <c r="E66" s="20" t="s">
        <v>354</v>
      </c>
      <c r="F66" s="21" t="s">
        <v>67</v>
      </c>
      <c r="G66" s="21" t="s">
        <v>27</v>
      </c>
      <c r="H66" s="20" t="s">
        <v>345</v>
      </c>
      <c r="I66" s="22" t="s">
        <v>7</v>
      </c>
      <c r="J66" s="23">
        <v>46309</v>
      </c>
      <c r="K66" s="20" t="s">
        <v>132</v>
      </c>
      <c r="L66" s="20" t="s">
        <v>346</v>
      </c>
    </row>
    <row r="67" spans="1:12" ht="39.6" customHeight="1" x14ac:dyDescent="0.3">
      <c r="A67" s="19" t="s">
        <v>355</v>
      </c>
      <c r="B67" s="20" t="s">
        <v>19</v>
      </c>
      <c r="C67" s="20" t="s">
        <v>356</v>
      </c>
      <c r="D67" s="20" t="s">
        <v>357</v>
      </c>
      <c r="E67" s="20" t="s">
        <v>358</v>
      </c>
      <c r="F67" s="21" t="s">
        <v>67</v>
      </c>
      <c r="G67" s="21" t="s">
        <v>27</v>
      </c>
      <c r="H67" s="20" t="s">
        <v>345</v>
      </c>
      <c r="I67" s="22" t="s">
        <v>7</v>
      </c>
      <c r="J67" s="23">
        <v>46309</v>
      </c>
      <c r="K67" s="20" t="s">
        <v>132</v>
      </c>
      <c r="L67" s="20" t="s">
        <v>346</v>
      </c>
    </row>
    <row r="68" spans="1:12" ht="26.4" customHeight="1" x14ac:dyDescent="0.3">
      <c r="A68" s="19" t="s">
        <v>359</v>
      </c>
      <c r="B68" s="20" t="s">
        <v>19</v>
      </c>
      <c r="C68" s="20" t="s">
        <v>360</v>
      </c>
      <c r="D68" s="20" t="s">
        <v>361</v>
      </c>
      <c r="E68" s="20" t="s">
        <v>113</v>
      </c>
      <c r="F68" s="21" t="s">
        <v>56</v>
      </c>
      <c r="G68" s="21" t="s">
        <v>27</v>
      </c>
      <c r="H68" s="20" t="s">
        <v>345</v>
      </c>
      <c r="I68" s="22" t="s">
        <v>7</v>
      </c>
      <c r="J68" s="23">
        <v>46309</v>
      </c>
      <c r="K68" s="20" t="s">
        <v>132</v>
      </c>
      <c r="L68" s="20" t="s">
        <v>362</v>
      </c>
    </row>
    <row r="69" spans="1:12" ht="52.8" customHeight="1" x14ac:dyDescent="0.3">
      <c r="A69" s="19" t="s">
        <v>363</v>
      </c>
      <c r="B69" s="20" t="s">
        <v>17</v>
      </c>
      <c r="C69" s="20" t="s">
        <v>364</v>
      </c>
      <c r="D69" s="20" t="s">
        <v>365</v>
      </c>
      <c r="E69" s="20" t="s">
        <v>366</v>
      </c>
      <c r="F69" s="21" t="s">
        <v>56</v>
      </c>
      <c r="G69" s="21" t="s">
        <v>27</v>
      </c>
      <c r="H69" s="20" t="s">
        <v>345</v>
      </c>
      <c r="I69" s="22" t="s">
        <v>7</v>
      </c>
      <c r="J69" s="23">
        <v>46309</v>
      </c>
      <c r="K69" s="20" t="s">
        <v>132</v>
      </c>
      <c r="L69" s="20" t="s">
        <v>367</v>
      </c>
    </row>
    <row r="70" spans="1:12" ht="39.6" customHeight="1" x14ac:dyDescent="0.3">
      <c r="A70" s="19" t="s">
        <v>368</v>
      </c>
      <c r="B70" s="20" t="s">
        <v>17</v>
      </c>
      <c r="C70" s="20" t="s">
        <v>369</v>
      </c>
      <c r="D70" s="20" t="s">
        <v>370</v>
      </c>
      <c r="E70" s="20" t="s">
        <v>371</v>
      </c>
      <c r="F70" s="21" t="s">
        <v>67</v>
      </c>
      <c r="G70" s="21" t="s">
        <v>27</v>
      </c>
      <c r="H70" s="20" t="s">
        <v>345</v>
      </c>
      <c r="I70" s="22" t="s">
        <v>7</v>
      </c>
      <c r="J70" s="23">
        <v>46309</v>
      </c>
      <c r="K70" s="20" t="s">
        <v>132</v>
      </c>
      <c r="L70" s="20" t="s">
        <v>372</v>
      </c>
    </row>
    <row r="71" spans="1:12" ht="39.6" customHeight="1" x14ac:dyDescent="0.3">
      <c r="A71" s="19" t="s">
        <v>373</v>
      </c>
      <c r="B71" s="20" t="s">
        <v>17</v>
      </c>
      <c r="C71" s="20" t="s">
        <v>374</v>
      </c>
      <c r="D71" s="20" t="s">
        <v>375</v>
      </c>
      <c r="E71" s="20" t="s">
        <v>376</v>
      </c>
      <c r="F71" s="21" t="s">
        <v>67</v>
      </c>
      <c r="G71" s="21" t="s">
        <v>27</v>
      </c>
      <c r="H71" s="20" t="s">
        <v>345</v>
      </c>
      <c r="I71" s="22" t="s">
        <v>7</v>
      </c>
      <c r="J71" s="23">
        <v>46309</v>
      </c>
      <c r="K71" s="20" t="s">
        <v>132</v>
      </c>
      <c r="L71" s="20" t="s">
        <v>377</v>
      </c>
    </row>
    <row r="72" spans="1:12" ht="26.4" customHeight="1" x14ac:dyDescent="0.3">
      <c r="A72" s="19" t="s">
        <v>378</v>
      </c>
      <c r="B72" s="20" t="s">
        <v>23</v>
      </c>
      <c r="C72" s="20" t="s">
        <v>379</v>
      </c>
      <c r="D72" s="20" t="s">
        <v>380</v>
      </c>
      <c r="E72" s="20" t="s">
        <v>381</v>
      </c>
      <c r="F72" s="21" t="s">
        <v>56</v>
      </c>
      <c r="G72" s="21" t="s">
        <v>27</v>
      </c>
      <c r="H72" s="20" t="s">
        <v>382</v>
      </c>
      <c r="I72" s="22" t="s">
        <v>7</v>
      </c>
      <c r="J72" s="23">
        <v>46309</v>
      </c>
      <c r="K72" s="20" t="s">
        <v>132</v>
      </c>
      <c r="L72" s="20" t="s">
        <v>383</v>
      </c>
    </row>
    <row r="73" spans="1:12" ht="52.8" customHeight="1" x14ac:dyDescent="0.3">
      <c r="A73" s="19" t="s">
        <v>384</v>
      </c>
      <c r="B73" s="20" t="s">
        <v>23</v>
      </c>
      <c r="C73" s="20" t="s">
        <v>385</v>
      </c>
      <c r="D73" s="20" t="s">
        <v>386</v>
      </c>
      <c r="E73" s="20" t="s">
        <v>387</v>
      </c>
      <c r="F73" s="21" t="s">
        <v>56</v>
      </c>
      <c r="G73" s="21" t="s">
        <v>27</v>
      </c>
      <c r="H73" s="20" t="s">
        <v>382</v>
      </c>
      <c r="I73" s="22" t="s">
        <v>7</v>
      </c>
      <c r="J73" s="23">
        <v>46309</v>
      </c>
      <c r="K73" s="20" t="s">
        <v>132</v>
      </c>
      <c r="L73" s="20" t="s">
        <v>388</v>
      </c>
    </row>
    <row r="74" spans="1:12" ht="26.4" customHeight="1" x14ac:dyDescent="0.3">
      <c r="A74" s="19" t="s">
        <v>389</v>
      </c>
      <c r="B74" s="20" t="s">
        <v>23</v>
      </c>
      <c r="C74" s="20" t="s">
        <v>390</v>
      </c>
      <c r="D74" s="20" t="s">
        <v>391</v>
      </c>
      <c r="E74" s="20" t="s">
        <v>392</v>
      </c>
      <c r="F74" s="21" t="s">
        <v>67</v>
      </c>
      <c r="G74" s="21" t="s">
        <v>27</v>
      </c>
      <c r="H74" s="20" t="s">
        <v>382</v>
      </c>
      <c r="I74" s="22" t="s">
        <v>7</v>
      </c>
      <c r="J74" s="23">
        <v>46309</v>
      </c>
      <c r="K74" s="20" t="s">
        <v>132</v>
      </c>
      <c r="L74" s="20" t="s">
        <v>383</v>
      </c>
    </row>
    <row r="75" spans="1:12" ht="26.4" customHeight="1" x14ac:dyDescent="0.3">
      <c r="A75" s="19" t="s">
        <v>393</v>
      </c>
      <c r="B75" s="20" t="s">
        <v>23</v>
      </c>
      <c r="C75" s="20" t="s">
        <v>394</v>
      </c>
      <c r="D75" s="20" t="s">
        <v>395</v>
      </c>
      <c r="E75" s="20" t="s">
        <v>396</v>
      </c>
      <c r="F75" s="21" t="s">
        <v>56</v>
      </c>
      <c r="G75" s="21" t="s">
        <v>27</v>
      </c>
      <c r="H75" s="20" t="s">
        <v>382</v>
      </c>
      <c r="I75" s="22" t="s">
        <v>7</v>
      </c>
      <c r="J75" s="23">
        <v>46309</v>
      </c>
      <c r="K75" s="20" t="s">
        <v>132</v>
      </c>
      <c r="L75" s="20" t="s">
        <v>383</v>
      </c>
    </row>
    <row r="76" spans="1:12" ht="39.6" customHeight="1" x14ac:dyDescent="0.3">
      <c r="A76" s="19" t="s">
        <v>397</v>
      </c>
      <c r="B76" s="20" t="s">
        <v>23</v>
      </c>
      <c r="C76" s="20" t="s">
        <v>398</v>
      </c>
      <c r="D76" s="20" t="s">
        <v>399</v>
      </c>
      <c r="E76" s="20" t="s">
        <v>400</v>
      </c>
      <c r="F76" s="21" t="s">
        <v>67</v>
      </c>
      <c r="G76" s="21" t="s">
        <v>27</v>
      </c>
      <c r="H76" s="20" t="s">
        <v>382</v>
      </c>
      <c r="I76" s="22" t="s">
        <v>7</v>
      </c>
      <c r="J76" s="23">
        <v>46309</v>
      </c>
      <c r="K76" s="20" t="s">
        <v>132</v>
      </c>
      <c r="L76" s="20" t="s">
        <v>401</v>
      </c>
    </row>
    <row r="77" spans="1:12" ht="26.4" customHeight="1" x14ac:dyDescent="0.3">
      <c r="A77" s="19" t="s">
        <v>402</v>
      </c>
      <c r="B77" s="20" t="s">
        <v>23</v>
      </c>
      <c r="C77" s="20" t="s">
        <v>403</v>
      </c>
      <c r="D77" s="20" t="s">
        <v>404</v>
      </c>
      <c r="E77" s="20" t="s">
        <v>405</v>
      </c>
      <c r="F77" s="21" t="s">
        <v>67</v>
      </c>
      <c r="G77" s="21" t="s">
        <v>27</v>
      </c>
      <c r="H77" s="20" t="s">
        <v>382</v>
      </c>
      <c r="I77" s="22" t="s">
        <v>7</v>
      </c>
      <c r="J77" s="23">
        <v>46309</v>
      </c>
      <c r="K77" s="20" t="s">
        <v>132</v>
      </c>
      <c r="L77" s="20" t="s">
        <v>383</v>
      </c>
    </row>
    <row r="78" spans="1:12" ht="52.8" customHeight="1" x14ac:dyDescent="0.3">
      <c r="A78" s="19" t="s">
        <v>406</v>
      </c>
      <c r="B78" s="20" t="s">
        <v>23</v>
      </c>
      <c r="C78" s="20" t="s">
        <v>407</v>
      </c>
      <c r="D78" s="20" t="s">
        <v>408</v>
      </c>
      <c r="E78" s="20" t="s">
        <v>409</v>
      </c>
      <c r="F78" s="21" t="s">
        <v>67</v>
      </c>
      <c r="G78" s="21" t="s">
        <v>27</v>
      </c>
      <c r="H78" s="20" t="s">
        <v>382</v>
      </c>
      <c r="I78" s="22" t="s">
        <v>7</v>
      </c>
      <c r="J78" s="23">
        <v>46309</v>
      </c>
      <c r="K78" s="20" t="s">
        <v>132</v>
      </c>
      <c r="L78" s="20" t="s">
        <v>410</v>
      </c>
    </row>
    <row r="79" spans="1:12" ht="26.4" customHeight="1" x14ac:dyDescent="0.3">
      <c r="A79" s="19" t="s">
        <v>411</v>
      </c>
      <c r="B79" s="20" t="s">
        <v>23</v>
      </c>
      <c r="C79" s="20" t="s">
        <v>412</v>
      </c>
      <c r="D79" s="20" t="s">
        <v>413</v>
      </c>
      <c r="E79" s="20" t="s">
        <v>414</v>
      </c>
      <c r="F79" s="21" t="s">
        <v>56</v>
      </c>
      <c r="G79" s="21" t="s">
        <v>27</v>
      </c>
      <c r="H79" s="20" t="s">
        <v>382</v>
      </c>
      <c r="I79" s="22" t="s">
        <v>7</v>
      </c>
      <c r="J79" s="23">
        <v>46309</v>
      </c>
      <c r="K79" s="20" t="s">
        <v>132</v>
      </c>
      <c r="L79" s="20" t="s">
        <v>383</v>
      </c>
    </row>
    <row r="80" spans="1:12" ht="26.4" customHeight="1" x14ac:dyDescent="0.3">
      <c r="A80" s="19" t="s">
        <v>415</v>
      </c>
      <c r="B80" s="20" t="s">
        <v>23</v>
      </c>
      <c r="C80" s="20" t="s">
        <v>416</v>
      </c>
      <c r="D80" s="20" t="s">
        <v>417</v>
      </c>
      <c r="E80" s="20" t="s">
        <v>418</v>
      </c>
      <c r="F80" s="21" t="s">
        <v>192</v>
      </c>
      <c r="G80" s="21" t="s">
        <v>27</v>
      </c>
      <c r="H80" s="20" t="s">
        <v>382</v>
      </c>
      <c r="I80" s="22" t="s">
        <v>7</v>
      </c>
      <c r="J80" s="23">
        <v>46309</v>
      </c>
      <c r="K80" s="20" t="s">
        <v>132</v>
      </c>
      <c r="L80" s="20" t="s">
        <v>383</v>
      </c>
    </row>
    <row r="81" spans="1:12" ht="26.4" customHeight="1" x14ac:dyDescent="0.3">
      <c r="A81" s="19" t="s">
        <v>419</v>
      </c>
      <c r="B81" s="20" t="s">
        <v>23</v>
      </c>
      <c r="C81" s="20" t="s">
        <v>420</v>
      </c>
      <c r="D81" s="20" t="s">
        <v>421</v>
      </c>
      <c r="E81" s="20" t="s">
        <v>422</v>
      </c>
      <c r="F81" s="21" t="s">
        <v>67</v>
      </c>
      <c r="G81" s="21" t="s">
        <v>27</v>
      </c>
      <c r="H81" s="20" t="s">
        <v>382</v>
      </c>
      <c r="I81" s="22" t="s">
        <v>7</v>
      </c>
      <c r="J81" s="23">
        <v>46309</v>
      </c>
      <c r="K81" s="20" t="s">
        <v>132</v>
      </c>
      <c r="L81" s="20" t="s">
        <v>383</v>
      </c>
    </row>
    <row r="82" spans="1:12" ht="26.4" customHeight="1" x14ac:dyDescent="0.3">
      <c r="A82" s="19" t="s">
        <v>423</v>
      </c>
      <c r="B82" s="20" t="s">
        <v>23</v>
      </c>
      <c r="C82" s="20" t="s">
        <v>424</v>
      </c>
      <c r="D82" s="20" t="s">
        <v>425</v>
      </c>
      <c r="E82" s="20" t="s">
        <v>426</v>
      </c>
      <c r="F82" s="21" t="s">
        <v>56</v>
      </c>
      <c r="G82" s="21" t="s">
        <v>27</v>
      </c>
      <c r="H82" s="20" t="s">
        <v>382</v>
      </c>
      <c r="I82" s="22" t="s">
        <v>7</v>
      </c>
      <c r="J82" s="23">
        <v>46309</v>
      </c>
      <c r="K82" s="20" t="s">
        <v>132</v>
      </c>
      <c r="L82" s="20" t="s">
        <v>383</v>
      </c>
    </row>
    <row r="83" spans="1:12" ht="26.4" customHeight="1" x14ac:dyDescent="0.3">
      <c r="A83" s="19" t="s">
        <v>427</v>
      </c>
      <c r="B83" s="20" t="s">
        <v>23</v>
      </c>
      <c r="C83" s="20" t="s">
        <v>428</v>
      </c>
      <c r="D83" s="20" t="s">
        <v>429</v>
      </c>
      <c r="E83" s="20" t="s">
        <v>422</v>
      </c>
      <c r="F83" s="21" t="s">
        <v>67</v>
      </c>
      <c r="G83" s="21" t="s">
        <v>27</v>
      </c>
      <c r="H83" s="20" t="s">
        <v>382</v>
      </c>
      <c r="I83" s="22" t="s">
        <v>7</v>
      </c>
      <c r="J83" s="23">
        <v>46309</v>
      </c>
      <c r="K83" s="20" t="s">
        <v>132</v>
      </c>
      <c r="L83" s="20" t="s">
        <v>383</v>
      </c>
    </row>
    <row r="84" spans="1:12" ht="26.4" customHeight="1" x14ac:dyDescent="0.3">
      <c r="A84" s="19" t="s">
        <v>430</v>
      </c>
      <c r="B84" s="20" t="s">
        <v>23</v>
      </c>
      <c r="C84" s="20" t="s">
        <v>431</v>
      </c>
      <c r="D84" s="20" t="s">
        <v>432</v>
      </c>
      <c r="E84" s="20" t="s">
        <v>433</v>
      </c>
      <c r="F84" s="21" t="s">
        <v>56</v>
      </c>
      <c r="G84" s="21" t="s">
        <v>27</v>
      </c>
      <c r="H84" s="20" t="s">
        <v>382</v>
      </c>
      <c r="I84" s="22" t="s">
        <v>7</v>
      </c>
      <c r="J84" s="23">
        <v>46309</v>
      </c>
      <c r="K84" s="20" t="s">
        <v>132</v>
      </c>
      <c r="L84" s="20" t="s">
        <v>383</v>
      </c>
    </row>
    <row r="85" spans="1:12" ht="52.8" customHeight="1" x14ac:dyDescent="0.3">
      <c r="A85" s="19" t="s">
        <v>434</v>
      </c>
      <c r="B85" s="20" t="s">
        <v>23</v>
      </c>
      <c r="C85" s="20" t="s">
        <v>435</v>
      </c>
      <c r="D85" s="20" t="s">
        <v>436</v>
      </c>
      <c r="E85" s="20" t="s">
        <v>437</v>
      </c>
      <c r="F85" s="21" t="s">
        <v>56</v>
      </c>
      <c r="G85" s="21" t="s">
        <v>27</v>
      </c>
      <c r="H85" s="20" t="s">
        <v>382</v>
      </c>
      <c r="I85" s="22" t="s">
        <v>7</v>
      </c>
      <c r="J85" s="23">
        <v>46309</v>
      </c>
      <c r="K85" s="20" t="s">
        <v>132</v>
      </c>
      <c r="L85" s="20" t="s">
        <v>438</v>
      </c>
    </row>
    <row r="86" spans="1:12" ht="26.4" customHeight="1" x14ac:dyDescent="0.3">
      <c r="A86" s="19" t="s">
        <v>439</v>
      </c>
      <c r="B86" s="20" t="s">
        <v>23</v>
      </c>
      <c r="C86" s="20" t="s">
        <v>440</v>
      </c>
      <c r="D86" s="20" t="s">
        <v>441</v>
      </c>
      <c r="E86" s="20" t="s">
        <v>442</v>
      </c>
      <c r="F86" s="21" t="s">
        <v>67</v>
      </c>
      <c r="G86" s="21" t="s">
        <v>27</v>
      </c>
      <c r="H86" s="20" t="s">
        <v>382</v>
      </c>
      <c r="I86" s="22" t="s">
        <v>7</v>
      </c>
      <c r="J86" s="23">
        <v>46309</v>
      </c>
      <c r="K86" s="20" t="s">
        <v>132</v>
      </c>
      <c r="L86" s="20" t="s">
        <v>383</v>
      </c>
    </row>
    <row r="87" spans="1:12" ht="26.4" customHeight="1" x14ac:dyDescent="0.3">
      <c r="A87" s="19" t="s">
        <v>443</v>
      </c>
      <c r="B87" s="20" t="s">
        <v>23</v>
      </c>
      <c r="C87" s="20" t="s">
        <v>444</v>
      </c>
      <c r="D87" s="20" t="s">
        <v>445</v>
      </c>
      <c r="E87" s="20" t="s">
        <v>446</v>
      </c>
      <c r="F87" s="21" t="s">
        <v>56</v>
      </c>
      <c r="G87" s="21" t="s">
        <v>27</v>
      </c>
      <c r="H87" s="20" t="s">
        <v>382</v>
      </c>
      <c r="I87" s="22" t="s">
        <v>7</v>
      </c>
      <c r="J87" s="23">
        <v>46309</v>
      </c>
      <c r="K87" s="20" t="s">
        <v>132</v>
      </c>
      <c r="L87" s="20" t="s">
        <v>383</v>
      </c>
    </row>
    <row r="88" spans="1:12" ht="52.8" customHeight="1" x14ac:dyDescent="0.3">
      <c r="A88" s="19" t="s">
        <v>447</v>
      </c>
      <c r="B88" s="20" t="s">
        <v>23</v>
      </c>
      <c r="C88" s="20" t="s">
        <v>448</v>
      </c>
      <c r="D88" s="20" t="s">
        <v>449</v>
      </c>
      <c r="E88" s="20" t="s">
        <v>450</v>
      </c>
      <c r="F88" s="21" t="s">
        <v>56</v>
      </c>
      <c r="G88" s="21" t="s">
        <v>27</v>
      </c>
      <c r="H88" s="20" t="s">
        <v>382</v>
      </c>
      <c r="I88" s="22" t="s">
        <v>7</v>
      </c>
      <c r="J88" s="23">
        <v>46309</v>
      </c>
      <c r="K88" s="20" t="s">
        <v>132</v>
      </c>
      <c r="L88" s="20" t="s">
        <v>451</v>
      </c>
    </row>
    <row r="89" spans="1:12" ht="26.4" customHeight="1" x14ac:dyDescent="0.3">
      <c r="A89" s="19" t="s">
        <v>452</v>
      </c>
      <c r="B89" s="20" t="s">
        <v>23</v>
      </c>
      <c r="C89" s="20" t="s">
        <v>453</v>
      </c>
      <c r="D89" s="20" t="s">
        <v>454</v>
      </c>
      <c r="E89" s="20" t="s">
        <v>455</v>
      </c>
      <c r="F89" s="21" t="s">
        <v>192</v>
      </c>
      <c r="G89" s="21" t="s">
        <v>27</v>
      </c>
      <c r="H89" s="20" t="s">
        <v>382</v>
      </c>
      <c r="I89" s="22" t="s">
        <v>7</v>
      </c>
      <c r="J89" s="23">
        <v>46309</v>
      </c>
      <c r="K89" s="20" t="s">
        <v>132</v>
      </c>
      <c r="L89" s="20" t="s">
        <v>383</v>
      </c>
    </row>
    <row r="90" spans="1:12" ht="26.4" customHeight="1" x14ac:dyDescent="0.3">
      <c r="A90" s="19" t="s">
        <v>456</v>
      </c>
      <c r="B90" s="20" t="s">
        <v>23</v>
      </c>
      <c r="C90" s="20" t="s">
        <v>457</v>
      </c>
      <c r="D90" s="20" t="s">
        <v>458</v>
      </c>
      <c r="E90" s="20" t="s">
        <v>459</v>
      </c>
      <c r="F90" s="21" t="s">
        <v>192</v>
      </c>
      <c r="G90" s="21" t="s">
        <v>27</v>
      </c>
      <c r="H90" s="20" t="s">
        <v>382</v>
      </c>
      <c r="I90" s="22" t="s">
        <v>7</v>
      </c>
      <c r="J90" s="23">
        <v>46309</v>
      </c>
      <c r="K90" s="20" t="s">
        <v>132</v>
      </c>
      <c r="L90" s="20" t="s">
        <v>383</v>
      </c>
    </row>
    <row r="91" spans="1:12" ht="26.4" customHeight="1" x14ac:dyDescent="0.3">
      <c r="A91" s="19" t="s">
        <v>460</v>
      </c>
      <c r="B91" s="20" t="s">
        <v>23</v>
      </c>
      <c r="C91" s="20" t="s">
        <v>461</v>
      </c>
      <c r="D91" s="20" t="s">
        <v>462</v>
      </c>
      <c r="E91" s="20" t="s">
        <v>105</v>
      </c>
      <c r="F91" s="21" t="s">
        <v>56</v>
      </c>
      <c r="G91" s="21" t="s">
        <v>27</v>
      </c>
      <c r="H91" s="20" t="s">
        <v>382</v>
      </c>
      <c r="I91" s="22" t="s">
        <v>7</v>
      </c>
      <c r="J91" s="23">
        <v>46309</v>
      </c>
      <c r="K91" s="20" t="s">
        <v>132</v>
      </c>
      <c r="L91" s="20" t="s">
        <v>383</v>
      </c>
    </row>
    <row r="92" spans="1:12" ht="66" customHeight="1" x14ac:dyDescent="0.3">
      <c r="A92" s="19" t="s">
        <v>463</v>
      </c>
      <c r="B92" s="20" t="s">
        <v>23</v>
      </c>
      <c r="C92" s="20" t="s">
        <v>464</v>
      </c>
      <c r="D92" s="20" t="s">
        <v>465</v>
      </c>
      <c r="E92" s="20" t="s">
        <v>466</v>
      </c>
      <c r="F92" s="21" t="s">
        <v>56</v>
      </c>
      <c r="G92" s="21" t="s">
        <v>27</v>
      </c>
      <c r="H92" s="20" t="s">
        <v>382</v>
      </c>
      <c r="I92" s="22" t="s">
        <v>7</v>
      </c>
      <c r="J92" s="23">
        <v>46309</v>
      </c>
      <c r="K92" s="20" t="s">
        <v>132</v>
      </c>
      <c r="L92" s="20" t="s">
        <v>467</v>
      </c>
    </row>
    <row r="93" spans="1:12" ht="26.4" customHeight="1" x14ac:dyDescent="0.3">
      <c r="A93" s="19" t="s">
        <v>468</v>
      </c>
      <c r="B93" s="20" t="s">
        <v>23</v>
      </c>
      <c r="C93" s="20" t="s">
        <v>469</v>
      </c>
      <c r="D93" s="20" t="s">
        <v>470</v>
      </c>
      <c r="E93" s="20" t="s">
        <v>471</v>
      </c>
      <c r="F93" s="21" t="s">
        <v>56</v>
      </c>
      <c r="G93" s="21" t="s">
        <v>27</v>
      </c>
      <c r="H93" s="20" t="s">
        <v>382</v>
      </c>
      <c r="I93" s="22" t="s">
        <v>7</v>
      </c>
      <c r="J93" s="23">
        <v>46309</v>
      </c>
      <c r="K93" s="20" t="s">
        <v>132</v>
      </c>
      <c r="L93" s="20" t="s">
        <v>383</v>
      </c>
    </row>
    <row r="94" spans="1:12" ht="52.8" customHeight="1" x14ac:dyDescent="0.3">
      <c r="A94" s="19" t="s">
        <v>472</v>
      </c>
      <c r="B94" s="20" t="s">
        <v>23</v>
      </c>
      <c r="C94" s="20" t="s">
        <v>473</v>
      </c>
      <c r="D94" s="20" t="s">
        <v>474</v>
      </c>
      <c r="E94" s="20" t="s">
        <v>475</v>
      </c>
      <c r="F94" s="21" t="s">
        <v>67</v>
      </c>
      <c r="G94" s="21" t="s">
        <v>27</v>
      </c>
      <c r="H94" s="20" t="s">
        <v>476</v>
      </c>
      <c r="I94" s="22" t="s">
        <v>7</v>
      </c>
      <c r="J94" s="23">
        <v>46309</v>
      </c>
      <c r="K94" s="20" t="s">
        <v>132</v>
      </c>
      <c r="L94" s="20" t="s">
        <v>477</v>
      </c>
    </row>
    <row r="95" spans="1:12" ht="26.4" customHeight="1" x14ac:dyDescent="0.3">
      <c r="A95" s="19" t="s">
        <v>478</v>
      </c>
      <c r="B95" s="20" t="s">
        <v>23</v>
      </c>
      <c r="C95" s="20" t="s">
        <v>479</v>
      </c>
      <c r="D95" s="20" t="s">
        <v>480</v>
      </c>
      <c r="E95" s="20" t="s">
        <v>481</v>
      </c>
      <c r="F95" s="21" t="s">
        <v>56</v>
      </c>
      <c r="G95" s="21" t="s">
        <v>27</v>
      </c>
      <c r="H95" s="20" t="s">
        <v>482</v>
      </c>
      <c r="I95" s="22" t="s">
        <v>7</v>
      </c>
      <c r="J95" s="23">
        <v>46309</v>
      </c>
      <c r="K95" s="20" t="s">
        <v>132</v>
      </c>
      <c r="L95" s="20" t="s">
        <v>483</v>
      </c>
    </row>
    <row r="96" spans="1:12" ht="26.4" customHeight="1" x14ac:dyDescent="0.3">
      <c r="A96" s="19" t="s">
        <v>484</v>
      </c>
      <c r="B96" s="20" t="s">
        <v>23</v>
      </c>
      <c r="C96" s="20" t="s">
        <v>485</v>
      </c>
      <c r="D96" s="20" t="s">
        <v>486</v>
      </c>
      <c r="E96" s="20" t="s">
        <v>487</v>
      </c>
      <c r="F96" s="21" t="s">
        <v>56</v>
      </c>
      <c r="G96" s="21" t="s">
        <v>27</v>
      </c>
      <c r="H96" s="20" t="s">
        <v>482</v>
      </c>
      <c r="I96" s="22" t="s">
        <v>7</v>
      </c>
      <c r="J96" s="23">
        <v>46309</v>
      </c>
      <c r="K96" s="20" t="s">
        <v>132</v>
      </c>
      <c r="L96" s="20" t="s">
        <v>483</v>
      </c>
    </row>
    <row r="97" spans="1:12" ht="39.6" customHeight="1" x14ac:dyDescent="0.3">
      <c r="A97" s="19" t="s">
        <v>488</v>
      </c>
      <c r="B97" s="20" t="s">
        <v>23</v>
      </c>
      <c r="C97" s="20" t="s">
        <v>489</v>
      </c>
      <c r="D97" s="20" t="s">
        <v>490</v>
      </c>
      <c r="E97" s="20" t="s">
        <v>491</v>
      </c>
      <c r="F97" s="21" t="s">
        <v>56</v>
      </c>
      <c r="G97" s="21" t="s">
        <v>27</v>
      </c>
      <c r="H97" s="20" t="s">
        <v>482</v>
      </c>
      <c r="I97" s="22" t="s">
        <v>7</v>
      </c>
      <c r="J97" s="23">
        <v>46309</v>
      </c>
      <c r="K97" s="20" t="s">
        <v>132</v>
      </c>
      <c r="L97" s="20" t="s">
        <v>492</v>
      </c>
    </row>
    <row r="98" spans="1:12" ht="26.4" customHeight="1" x14ac:dyDescent="0.3">
      <c r="A98" s="19" t="s">
        <v>493</v>
      </c>
      <c r="B98" s="20" t="s">
        <v>23</v>
      </c>
      <c r="C98" s="20" t="s">
        <v>494</v>
      </c>
      <c r="D98" s="20" t="s">
        <v>495</v>
      </c>
      <c r="E98" s="20" t="s">
        <v>496</v>
      </c>
      <c r="F98" s="21" t="s">
        <v>67</v>
      </c>
      <c r="G98" s="21" t="s">
        <v>27</v>
      </c>
      <c r="H98" s="20" t="s">
        <v>482</v>
      </c>
      <c r="I98" s="22" t="s">
        <v>7</v>
      </c>
      <c r="J98" s="23">
        <v>46309</v>
      </c>
      <c r="K98" s="20" t="s">
        <v>132</v>
      </c>
      <c r="L98" s="20" t="s">
        <v>483</v>
      </c>
    </row>
    <row r="99" spans="1:12" ht="26.4" customHeight="1" x14ac:dyDescent="0.3">
      <c r="A99" s="19" t="s">
        <v>497</v>
      </c>
      <c r="B99" s="20" t="s">
        <v>23</v>
      </c>
      <c r="C99" s="20" t="s">
        <v>498</v>
      </c>
      <c r="D99" s="20" t="s">
        <v>499</v>
      </c>
      <c r="E99" s="20" t="s">
        <v>500</v>
      </c>
      <c r="F99" s="21" t="s">
        <v>56</v>
      </c>
      <c r="G99" s="21" t="s">
        <v>27</v>
      </c>
      <c r="H99" s="20" t="s">
        <v>482</v>
      </c>
      <c r="I99" s="22" t="s">
        <v>7</v>
      </c>
      <c r="J99" s="23">
        <v>46309</v>
      </c>
      <c r="K99" s="20" t="s">
        <v>132</v>
      </c>
      <c r="L99" s="20" t="s">
        <v>483</v>
      </c>
    </row>
    <row r="100" spans="1:12" ht="52.8" customHeight="1" x14ac:dyDescent="0.3">
      <c r="A100" s="19" t="s">
        <v>501</v>
      </c>
      <c r="B100" s="20" t="s">
        <v>23</v>
      </c>
      <c r="C100" s="20" t="s">
        <v>502</v>
      </c>
      <c r="D100" s="20" t="s">
        <v>503</v>
      </c>
      <c r="E100" s="20" t="s">
        <v>504</v>
      </c>
      <c r="F100" s="21" t="s">
        <v>56</v>
      </c>
      <c r="G100" s="21" t="s">
        <v>27</v>
      </c>
      <c r="H100" s="20" t="s">
        <v>482</v>
      </c>
      <c r="I100" s="22" t="s">
        <v>7</v>
      </c>
      <c r="J100" s="23">
        <v>46309</v>
      </c>
      <c r="K100" s="20" t="s">
        <v>132</v>
      </c>
      <c r="L100" s="20" t="s">
        <v>505</v>
      </c>
    </row>
    <row r="101" spans="1:12" ht="26.4" customHeight="1" x14ac:dyDescent="0.3">
      <c r="A101" s="19" t="s">
        <v>506</v>
      </c>
      <c r="B101" s="20" t="s">
        <v>23</v>
      </c>
      <c r="C101" s="20" t="s">
        <v>507</v>
      </c>
      <c r="D101" s="20" t="s">
        <v>508</v>
      </c>
      <c r="E101" s="20" t="s">
        <v>509</v>
      </c>
      <c r="F101" s="21" t="s">
        <v>56</v>
      </c>
      <c r="G101" s="21" t="s">
        <v>27</v>
      </c>
      <c r="H101" s="20" t="s">
        <v>482</v>
      </c>
      <c r="I101" s="22" t="s">
        <v>7</v>
      </c>
      <c r="J101" s="23">
        <v>46309</v>
      </c>
      <c r="K101" s="20" t="s">
        <v>132</v>
      </c>
      <c r="L101" s="20" t="s">
        <v>483</v>
      </c>
    </row>
    <row r="102" spans="1:12" ht="26.4" customHeight="1" x14ac:dyDescent="0.3">
      <c r="A102" s="19" t="s">
        <v>510</v>
      </c>
      <c r="B102" s="20" t="s">
        <v>23</v>
      </c>
      <c r="C102" s="20" t="s">
        <v>511</v>
      </c>
      <c r="D102" s="20" t="s">
        <v>512</v>
      </c>
      <c r="E102" s="20" t="s">
        <v>513</v>
      </c>
      <c r="F102" s="21" t="s">
        <v>67</v>
      </c>
      <c r="G102" s="21" t="s">
        <v>27</v>
      </c>
      <c r="H102" s="20" t="s">
        <v>482</v>
      </c>
      <c r="I102" s="22" t="s">
        <v>7</v>
      </c>
      <c r="J102" s="23">
        <v>46309</v>
      </c>
      <c r="K102" s="20" t="s">
        <v>132</v>
      </c>
      <c r="L102" s="20" t="s">
        <v>483</v>
      </c>
    </row>
    <row r="103" spans="1:12" ht="26.4" customHeight="1" x14ac:dyDescent="0.3">
      <c r="A103" s="19" t="s">
        <v>514</v>
      </c>
      <c r="B103" s="20" t="s">
        <v>23</v>
      </c>
      <c r="C103" s="20" t="s">
        <v>515</v>
      </c>
      <c r="D103" s="20" t="s">
        <v>516</v>
      </c>
      <c r="E103" s="20" t="s">
        <v>517</v>
      </c>
      <c r="F103" s="21" t="s">
        <v>192</v>
      </c>
      <c r="G103" s="21" t="s">
        <v>27</v>
      </c>
      <c r="H103" s="20" t="s">
        <v>482</v>
      </c>
      <c r="I103" s="22" t="s">
        <v>7</v>
      </c>
      <c r="J103" s="23">
        <v>46309</v>
      </c>
      <c r="K103" s="20" t="s">
        <v>132</v>
      </c>
      <c r="L103" s="20" t="s">
        <v>483</v>
      </c>
    </row>
    <row r="104" spans="1:12" ht="39.6" customHeight="1" x14ac:dyDescent="0.3">
      <c r="A104" s="19" t="s">
        <v>518</v>
      </c>
      <c r="B104" s="20" t="s">
        <v>23</v>
      </c>
      <c r="C104" s="20" t="s">
        <v>519</v>
      </c>
      <c r="D104" s="20" t="s">
        <v>520</v>
      </c>
      <c r="E104" s="20" t="s">
        <v>521</v>
      </c>
      <c r="F104" s="21" t="s">
        <v>67</v>
      </c>
      <c r="G104" s="21" t="s">
        <v>27</v>
      </c>
      <c r="H104" s="20" t="s">
        <v>482</v>
      </c>
      <c r="I104" s="22" t="s">
        <v>7</v>
      </c>
      <c r="J104" s="23">
        <v>46309</v>
      </c>
      <c r="K104" s="20" t="s">
        <v>132</v>
      </c>
      <c r="L104" s="20" t="s">
        <v>522</v>
      </c>
    </row>
    <row r="105" spans="1:12" ht="52.8" customHeight="1" x14ac:dyDescent="0.3">
      <c r="A105" s="19" t="s">
        <v>523</v>
      </c>
      <c r="B105" s="20" t="s">
        <v>23</v>
      </c>
      <c r="C105" s="20" t="s">
        <v>524</v>
      </c>
      <c r="D105" s="20" t="s">
        <v>525</v>
      </c>
      <c r="E105" s="20" t="s">
        <v>526</v>
      </c>
      <c r="F105" s="21" t="s">
        <v>67</v>
      </c>
      <c r="G105" s="21" t="s">
        <v>27</v>
      </c>
      <c r="H105" s="20" t="s">
        <v>482</v>
      </c>
      <c r="I105" s="22" t="s">
        <v>9</v>
      </c>
      <c r="J105" s="23"/>
      <c r="K105" s="20"/>
      <c r="L105" s="20" t="s">
        <v>527</v>
      </c>
    </row>
    <row r="106" spans="1:12" ht="26.4" customHeight="1" x14ac:dyDescent="0.3">
      <c r="A106" s="19" t="s">
        <v>528</v>
      </c>
      <c r="B106" s="20" t="s">
        <v>23</v>
      </c>
      <c r="C106" s="20" t="s">
        <v>529</v>
      </c>
      <c r="D106" s="20" t="s">
        <v>530</v>
      </c>
      <c r="E106" s="20" t="s">
        <v>531</v>
      </c>
      <c r="F106" s="21" t="s">
        <v>67</v>
      </c>
      <c r="G106" s="21" t="s">
        <v>27</v>
      </c>
      <c r="H106" s="20" t="s">
        <v>482</v>
      </c>
      <c r="I106" s="22" t="s">
        <v>7</v>
      </c>
      <c r="J106" s="23">
        <v>46309</v>
      </c>
      <c r="K106" s="20" t="s">
        <v>132</v>
      </c>
      <c r="L106" s="20" t="s">
        <v>483</v>
      </c>
    </row>
    <row r="107" spans="1:12" ht="26.4" customHeight="1" x14ac:dyDescent="0.3">
      <c r="A107" s="19" t="s">
        <v>532</v>
      </c>
      <c r="B107" s="20" t="s">
        <v>23</v>
      </c>
      <c r="C107" s="20" t="s">
        <v>295</v>
      </c>
      <c r="D107" s="20" t="s">
        <v>533</v>
      </c>
      <c r="E107" s="20" t="s">
        <v>534</v>
      </c>
      <c r="F107" s="21" t="s">
        <v>67</v>
      </c>
      <c r="G107" s="21" t="s">
        <v>27</v>
      </c>
      <c r="H107" s="20" t="s">
        <v>482</v>
      </c>
      <c r="I107" s="22" t="s">
        <v>7</v>
      </c>
      <c r="J107" s="23">
        <v>46309</v>
      </c>
      <c r="K107" s="20" t="s">
        <v>132</v>
      </c>
      <c r="L107" s="20" t="s">
        <v>483</v>
      </c>
    </row>
    <row r="108" spans="1:12" ht="39.6" customHeight="1" x14ac:dyDescent="0.3">
      <c r="A108" s="19" t="s">
        <v>535</v>
      </c>
      <c r="B108" s="20" t="s">
        <v>23</v>
      </c>
      <c r="C108" s="20" t="s">
        <v>536</v>
      </c>
      <c r="D108" s="20" t="s">
        <v>537</v>
      </c>
      <c r="E108" s="20" t="s">
        <v>538</v>
      </c>
      <c r="F108" s="21" t="s">
        <v>56</v>
      </c>
      <c r="G108" s="21" t="s">
        <v>27</v>
      </c>
      <c r="H108" s="20" t="s">
        <v>382</v>
      </c>
      <c r="I108" s="22" t="s">
        <v>7</v>
      </c>
      <c r="J108" s="23">
        <v>46309</v>
      </c>
      <c r="K108" s="20" t="s">
        <v>132</v>
      </c>
      <c r="L108" s="20" t="s">
        <v>539</v>
      </c>
    </row>
    <row r="109" spans="1:12" ht="39.6" customHeight="1" x14ac:dyDescent="0.3">
      <c r="A109" s="19" t="s">
        <v>540</v>
      </c>
      <c r="B109" s="20" t="s">
        <v>20</v>
      </c>
      <c r="C109" s="20" t="s">
        <v>541</v>
      </c>
      <c r="D109" s="20" t="s">
        <v>140</v>
      </c>
      <c r="E109" s="20" t="s">
        <v>7</v>
      </c>
      <c r="F109" s="21" t="s">
        <v>56</v>
      </c>
      <c r="G109" s="21" t="s">
        <v>27</v>
      </c>
      <c r="H109" s="20" t="s">
        <v>542</v>
      </c>
      <c r="I109" s="22" t="s">
        <v>7</v>
      </c>
      <c r="J109" s="23">
        <v>46309</v>
      </c>
      <c r="K109" s="20" t="s">
        <v>143</v>
      </c>
      <c r="L109" s="20"/>
    </row>
    <row r="110" spans="1:12" ht="52.8" customHeight="1" x14ac:dyDescent="0.3">
      <c r="A110" s="19" t="s">
        <v>543</v>
      </c>
      <c r="B110" s="20" t="s">
        <v>20</v>
      </c>
      <c r="C110" s="20" t="s">
        <v>544</v>
      </c>
      <c r="D110" s="20" t="s">
        <v>140</v>
      </c>
      <c r="E110" s="20" t="s">
        <v>7</v>
      </c>
      <c r="F110" s="21" t="s">
        <v>56</v>
      </c>
      <c r="G110" s="21" t="s">
        <v>27</v>
      </c>
      <c r="H110" s="20" t="s">
        <v>545</v>
      </c>
      <c r="I110" s="22" t="s">
        <v>7</v>
      </c>
      <c r="J110" s="23">
        <v>46309</v>
      </c>
      <c r="K110" s="20" t="s">
        <v>143</v>
      </c>
      <c r="L110" s="20"/>
    </row>
    <row r="111" spans="1:12" ht="52.8" customHeight="1" x14ac:dyDescent="0.3">
      <c r="A111" s="19" t="s">
        <v>546</v>
      </c>
      <c r="B111" s="20" t="s">
        <v>20</v>
      </c>
      <c r="C111" s="20" t="s">
        <v>547</v>
      </c>
      <c r="D111" s="20" t="s">
        <v>140</v>
      </c>
      <c r="E111" s="20" t="s">
        <v>7</v>
      </c>
      <c r="F111" s="21" t="s">
        <v>56</v>
      </c>
      <c r="G111" s="21" t="s">
        <v>27</v>
      </c>
      <c r="H111" s="20" t="s">
        <v>548</v>
      </c>
      <c r="I111" s="22" t="s">
        <v>7</v>
      </c>
      <c r="J111" s="23">
        <v>46309</v>
      </c>
      <c r="K111" s="20" t="s">
        <v>143</v>
      </c>
      <c r="L111" s="20"/>
    </row>
    <row r="112" spans="1:12" ht="39.6" customHeight="1" x14ac:dyDescent="0.3">
      <c r="A112" s="19" t="s">
        <v>549</v>
      </c>
      <c r="B112" s="20" t="s">
        <v>20</v>
      </c>
      <c r="C112" s="20" t="s">
        <v>550</v>
      </c>
      <c r="D112" s="20" t="s">
        <v>140</v>
      </c>
      <c r="E112" s="20" t="s">
        <v>7</v>
      </c>
      <c r="F112" s="21" t="s">
        <v>56</v>
      </c>
      <c r="G112" s="21" t="s">
        <v>27</v>
      </c>
      <c r="H112" s="20" t="s">
        <v>551</v>
      </c>
      <c r="I112" s="22" t="s">
        <v>7</v>
      </c>
      <c r="J112" s="23">
        <v>46309</v>
      </c>
      <c r="K112" s="20" t="s">
        <v>143</v>
      </c>
      <c r="L112" s="20"/>
    </row>
    <row r="113" spans="1:12" ht="39.6" x14ac:dyDescent="0.3">
      <c r="A113" s="19" t="s">
        <v>552</v>
      </c>
      <c r="B113" s="20" t="s">
        <v>20</v>
      </c>
      <c r="C113" s="20" t="s">
        <v>553</v>
      </c>
      <c r="D113" s="20" t="s">
        <v>140</v>
      </c>
      <c r="E113" s="20" t="s">
        <v>7</v>
      </c>
      <c r="F113" s="21" t="s">
        <v>56</v>
      </c>
      <c r="G113" s="21" t="s">
        <v>27</v>
      </c>
      <c r="H113" s="20" t="s">
        <v>554</v>
      </c>
      <c r="I113" s="22" t="s">
        <v>7</v>
      </c>
      <c r="J113" s="23">
        <v>46309</v>
      </c>
      <c r="K113" s="20" t="s">
        <v>143</v>
      </c>
      <c r="L113" s="20" t="s">
        <v>555</v>
      </c>
    </row>
    <row r="114" spans="1:12" ht="39.6" x14ac:dyDescent="0.3">
      <c r="A114" s="19" t="s">
        <v>556</v>
      </c>
      <c r="B114" s="20" t="s">
        <v>20</v>
      </c>
      <c r="C114" s="20" t="s">
        <v>557</v>
      </c>
      <c r="D114" s="20" t="s">
        <v>140</v>
      </c>
      <c r="E114" s="20" t="s">
        <v>7</v>
      </c>
      <c r="F114" s="21" t="s">
        <v>56</v>
      </c>
      <c r="G114" s="21" t="s">
        <v>27</v>
      </c>
      <c r="H114" s="20" t="s">
        <v>558</v>
      </c>
      <c r="I114" s="22" t="s">
        <v>7</v>
      </c>
      <c r="J114" s="23">
        <v>46309</v>
      </c>
      <c r="K114" s="20" t="s">
        <v>143</v>
      </c>
      <c r="L114" s="20" t="s">
        <v>555</v>
      </c>
    </row>
    <row r="115" spans="1:12" ht="39.6" x14ac:dyDescent="0.3">
      <c r="A115" s="19" t="s">
        <v>559</v>
      </c>
      <c r="B115" s="20" t="s">
        <v>20</v>
      </c>
      <c r="C115" s="20" t="s">
        <v>560</v>
      </c>
      <c r="D115" s="20" t="s">
        <v>140</v>
      </c>
      <c r="E115" s="20" t="s">
        <v>7</v>
      </c>
      <c r="F115" s="21" t="s">
        <v>56</v>
      </c>
      <c r="G115" s="21" t="s">
        <v>27</v>
      </c>
      <c r="H115" s="20" t="s">
        <v>561</v>
      </c>
      <c r="I115" s="22" t="s">
        <v>7</v>
      </c>
      <c r="J115" s="23">
        <v>46309</v>
      </c>
      <c r="K115" s="20" t="s">
        <v>143</v>
      </c>
      <c r="L115" s="20" t="s">
        <v>555</v>
      </c>
    </row>
  </sheetData>
  <autoFilter ref="A1:L115" xr:uid="{00000000-0009-0000-0000-000001000000}"/>
  <conditionalFormatting sqref="I2:I300">
    <cfRule type="cellIs" dxfId="4" priority="1" operator="equal">
      <formula>"ผ่าน"</formula>
    </cfRule>
    <cfRule type="cellIs" dxfId="3" priority="2" operator="equal">
      <formula>"ไม่ผ่าน"</formula>
    </cfRule>
    <cfRule type="cellIs" dxfId="2" priority="3" operator="equal">
      <formula>"บล็อก"</formula>
    </cfRule>
    <cfRule type="cellIs" dxfId="1" priority="4" operator="equal">
      <formula>"ข้าม"</formula>
    </cfRule>
    <cfRule type="cellIs" dxfId="0" priority="5" operator="equal">
      <formula>"ยังไม่ทดสอบ"</formula>
    </cfRule>
  </conditionalFormatting>
  <dataValidations count="2">
    <dataValidation type="list" error="เลือกสถานะจากรายการ" sqref="I2:I300" xr:uid="{00000000-0002-0000-0100-000000000000}">
      <formula1>"ยังไม่ทดสอบ,ผ่าน,ไม่ผ่าน,ข้าม,บล็อก"</formula1>
    </dataValidation>
    <dataValidation type="list" allowBlank="1" sqref="F2:F300" xr:uid="{00000000-0002-0000-0100-000001000000}">
      <formula1>"สูง,กลาง,ต่ำ"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" customWidth="1"/>
    <col min="2" max="2" width="44" customWidth="1"/>
    <col min="3" max="3" width="48" customWidth="1"/>
    <col min="4" max="4" width="56" customWidth="1"/>
    <col min="5" max="5" width="11" customWidth="1"/>
    <col min="6" max="6" width="16" customWidth="1"/>
    <col min="7" max="7" width="34" customWidth="1"/>
  </cols>
  <sheetData>
    <row r="1" spans="1:7" x14ac:dyDescent="0.3">
      <c r="A1" s="4" t="s">
        <v>562</v>
      </c>
      <c r="B1" s="4" t="s">
        <v>563</v>
      </c>
      <c r="C1" s="4" t="s">
        <v>564</v>
      </c>
      <c r="D1" s="4" t="s">
        <v>565</v>
      </c>
      <c r="E1" s="4" t="s">
        <v>3</v>
      </c>
      <c r="F1" s="4" t="s">
        <v>566</v>
      </c>
      <c r="G1" s="4" t="s">
        <v>567</v>
      </c>
    </row>
    <row r="2" spans="1:7" ht="26.4" customHeight="1" x14ac:dyDescent="0.3">
      <c r="A2" s="21" t="s">
        <v>568</v>
      </c>
      <c r="B2" s="20" t="s">
        <v>569</v>
      </c>
      <c r="C2" s="20" t="s">
        <v>570</v>
      </c>
      <c r="D2" s="20" t="s">
        <v>571</v>
      </c>
      <c r="E2" s="21" t="s">
        <v>572</v>
      </c>
      <c r="F2" s="20" t="s">
        <v>573</v>
      </c>
      <c r="G2" s="20" t="s">
        <v>88</v>
      </c>
    </row>
    <row r="3" spans="1:7" ht="26.4" customHeight="1" x14ac:dyDescent="0.3">
      <c r="A3" s="21" t="s">
        <v>574</v>
      </c>
      <c r="B3" s="20" t="s">
        <v>575</v>
      </c>
      <c r="C3" s="20" t="s">
        <v>576</v>
      </c>
      <c r="D3" s="20" t="s">
        <v>577</v>
      </c>
      <c r="E3" s="21" t="s">
        <v>572</v>
      </c>
      <c r="F3" s="20" t="s">
        <v>578</v>
      </c>
      <c r="G3" s="20" t="s">
        <v>169</v>
      </c>
    </row>
    <row r="4" spans="1:7" ht="26.4" customHeight="1" x14ac:dyDescent="0.3">
      <c r="A4" s="21" t="s">
        <v>579</v>
      </c>
      <c r="B4" s="20" t="s">
        <v>580</v>
      </c>
      <c r="C4" s="20" t="s">
        <v>581</v>
      </c>
      <c r="D4" s="20" t="s">
        <v>582</v>
      </c>
      <c r="E4" s="21" t="s">
        <v>572</v>
      </c>
      <c r="F4" s="20" t="s">
        <v>583</v>
      </c>
      <c r="G4" s="20" t="s">
        <v>93</v>
      </c>
    </row>
    <row r="5" spans="1:7" x14ac:dyDescent="0.3">
      <c r="A5" s="21" t="s">
        <v>584</v>
      </c>
      <c r="B5" s="20" t="s">
        <v>585</v>
      </c>
      <c r="C5" s="20" t="s">
        <v>586</v>
      </c>
      <c r="D5" s="20" t="s">
        <v>587</v>
      </c>
      <c r="E5" s="21" t="s">
        <v>572</v>
      </c>
      <c r="F5" s="20" t="s">
        <v>588</v>
      </c>
      <c r="G5" s="20" t="s">
        <v>589</v>
      </c>
    </row>
    <row r="6" spans="1:7" ht="26.4" customHeight="1" x14ac:dyDescent="0.3">
      <c r="A6" s="21" t="s">
        <v>590</v>
      </c>
      <c r="B6" s="20" t="s">
        <v>591</v>
      </c>
      <c r="C6" s="20" t="s">
        <v>592</v>
      </c>
      <c r="D6" s="20" t="s">
        <v>593</v>
      </c>
      <c r="E6" s="21" t="s">
        <v>572</v>
      </c>
      <c r="F6" s="20" t="s">
        <v>594</v>
      </c>
      <c r="G6" s="20" t="s">
        <v>595</v>
      </c>
    </row>
    <row r="7" spans="1:7" ht="26.4" customHeight="1" x14ac:dyDescent="0.3">
      <c r="A7" s="21" t="s">
        <v>596</v>
      </c>
      <c r="B7" s="20" t="s">
        <v>597</v>
      </c>
      <c r="C7" s="20" t="s">
        <v>598</v>
      </c>
      <c r="D7" s="20" t="s">
        <v>599</v>
      </c>
      <c r="E7" s="21" t="s">
        <v>572</v>
      </c>
      <c r="F7" s="20" t="s">
        <v>600</v>
      </c>
      <c r="G7" s="20" t="s">
        <v>601</v>
      </c>
    </row>
    <row r="8" spans="1:7" x14ac:dyDescent="0.3">
      <c r="A8" s="21" t="s">
        <v>602</v>
      </c>
      <c r="B8" s="20" t="s">
        <v>603</v>
      </c>
      <c r="C8" s="20" t="s">
        <v>604</v>
      </c>
      <c r="D8" s="20" t="s">
        <v>605</v>
      </c>
      <c r="E8" s="21" t="s">
        <v>572</v>
      </c>
      <c r="F8" s="20" t="s">
        <v>606</v>
      </c>
      <c r="G8" s="20" t="s">
        <v>607</v>
      </c>
    </row>
    <row r="9" spans="1:7" ht="39.6" customHeight="1" x14ac:dyDescent="0.3">
      <c r="A9" s="21" t="s">
        <v>608</v>
      </c>
      <c r="B9" s="20" t="s">
        <v>609</v>
      </c>
      <c r="C9" s="20" t="s">
        <v>610</v>
      </c>
      <c r="D9" s="20" t="s">
        <v>611</v>
      </c>
      <c r="E9" s="21" t="s">
        <v>572</v>
      </c>
      <c r="F9" s="20" t="s">
        <v>612</v>
      </c>
      <c r="G9" s="20" t="s">
        <v>336</v>
      </c>
    </row>
    <row r="10" spans="1:7" ht="39.6" customHeight="1" x14ac:dyDescent="0.3">
      <c r="A10" s="21" t="s">
        <v>613</v>
      </c>
      <c r="B10" s="20" t="s">
        <v>614</v>
      </c>
      <c r="C10" s="20" t="s">
        <v>615</v>
      </c>
      <c r="D10" s="20" t="s">
        <v>616</v>
      </c>
      <c r="E10" s="21" t="s">
        <v>617</v>
      </c>
      <c r="F10" s="20" t="s">
        <v>618</v>
      </c>
      <c r="G10" s="20" t="s">
        <v>619</v>
      </c>
    </row>
    <row r="11" spans="1:7" ht="39.6" customHeight="1" x14ac:dyDescent="0.3">
      <c r="A11" s="21" t="s">
        <v>620</v>
      </c>
      <c r="B11" s="20" t="s">
        <v>621</v>
      </c>
      <c r="C11" s="20" t="s">
        <v>622</v>
      </c>
      <c r="D11" s="20" t="s">
        <v>623</v>
      </c>
      <c r="E11" s="21" t="s">
        <v>624</v>
      </c>
      <c r="F11" s="20" t="s">
        <v>625</v>
      </c>
      <c r="G11" s="20" t="s">
        <v>626</v>
      </c>
    </row>
    <row r="12" spans="1:7" ht="26.4" customHeight="1" x14ac:dyDescent="0.3">
      <c r="A12" s="21" t="s">
        <v>627</v>
      </c>
      <c r="B12" s="20" t="s">
        <v>628</v>
      </c>
      <c r="C12" s="20" t="s">
        <v>629</v>
      </c>
      <c r="D12" s="20" t="s">
        <v>630</v>
      </c>
      <c r="E12" s="21" t="s">
        <v>624</v>
      </c>
      <c r="F12" s="20" t="s">
        <v>631</v>
      </c>
      <c r="G12" s="20" t="s">
        <v>632</v>
      </c>
    </row>
    <row r="13" spans="1:7" ht="39.6" customHeight="1" x14ac:dyDescent="0.3">
      <c r="A13" s="21" t="s">
        <v>633</v>
      </c>
      <c r="B13" s="20" t="s">
        <v>634</v>
      </c>
      <c r="C13" s="20" t="s">
        <v>635</v>
      </c>
      <c r="D13" s="20" t="s">
        <v>636</v>
      </c>
      <c r="E13" s="21" t="s">
        <v>637</v>
      </c>
      <c r="F13" s="20" t="s">
        <v>173</v>
      </c>
      <c r="G13" s="20" t="s">
        <v>406</v>
      </c>
    </row>
    <row r="14" spans="1:7" ht="26.4" customHeight="1" x14ac:dyDescent="0.3">
      <c r="A14" s="21" t="s">
        <v>638</v>
      </c>
      <c r="B14" s="20" t="s">
        <v>639</v>
      </c>
      <c r="C14" s="20" t="s">
        <v>640</v>
      </c>
      <c r="D14" s="20" t="s">
        <v>641</v>
      </c>
      <c r="E14" s="21" t="s">
        <v>637</v>
      </c>
      <c r="F14" s="20" t="s">
        <v>173</v>
      </c>
      <c r="G14" s="20" t="s">
        <v>173</v>
      </c>
    </row>
    <row r="15" spans="1:7" ht="39.6" customHeight="1" x14ac:dyDescent="0.3">
      <c r="A15" s="21" t="s">
        <v>642</v>
      </c>
      <c r="B15" s="20" t="s">
        <v>643</v>
      </c>
      <c r="C15" s="20" t="s">
        <v>644</v>
      </c>
      <c r="D15" s="20" t="s">
        <v>645</v>
      </c>
      <c r="E15" s="21" t="s">
        <v>637</v>
      </c>
      <c r="F15" s="20" t="s">
        <v>173</v>
      </c>
      <c r="G15" s="20" t="s">
        <v>447</v>
      </c>
    </row>
    <row r="16" spans="1:7" ht="26.4" customHeight="1" x14ac:dyDescent="0.3">
      <c r="A16" s="21" t="s">
        <v>646</v>
      </c>
      <c r="B16" s="20" t="s">
        <v>647</v>
      </c>
      <c r="C16" s="20" t="s">
        <v>648</v>
      </c>
      <c r="D16" s="20" t="s">
        <v>649</v>
      </c>
      <c r="E16" s="21" t="s">
        <v>624</v>
      </c>
      <c r="F16" s="20" t="s">
        <v>650</v>
      </c>
      <c r="G16" s="20" t="s">
        <v>651</v>
      </c>
    </row>
    <row r="17" spans="1:7" ht="26.4" customHeight="1" x14ac:dyDescent="0.3">
      <c r="A17" s="21" t="s">
        <v>652</v>
      </c>
      <c r="B17" s="20" t="s">
        <v>653</v>
      </c>
      <c r="C17" s="20" t="s">
        <v>654</v>
      </c>
      <c r="D17" s="20" t="s">
        <v>655</v>
      </c>
      <c r="E17" s="21" t="s">
        <v>624</v>
      </c>
      <c r="F17" s="20" t="s">
        <v>656</v>
      </c>
      <c r="G17" s="20" t="s">
        <v>657</v>
      </c>
    </row>
    <row r="18" spans="1:7" ht="39.6" customHeight="1" x14ac:dyDescent="0.3">
      <c r="A18" s="21" t="s">
        <v>658</v>
      </c>
      <c r="B18" s="20" t="s">
        <v>659</v>
      </c>
      <c r="C18" s="20" t="s">
        <v>660</v>
      </c>
      <c r="D18" s="20" t="s">
        <v>661</v>
      </c>
      <c r="E18" s="21" t="s">
        <v>637</v>
      </c>
      <c r="F18" s="20" t="s">
        <v>173</v>
      </c>
      <c r="G18" s="20" t="s">
        <v>662</v>
      </c>
    </row>
    <row r="19" spans="1:7" ht="26.4" customHeight="1" x14ac:dyDescent="0.3">
      <c r="A19" s="21" t="s">
        <v>663</v>
      </c>
      <c r="B19" s="20" t="s">
        <v>664</v>
      </c>
      <c r="C19" s="20" t="s">
        <v>665</v>
      </c>
      <c r="D19" s="20" t="s">
        <v>666</v>
      </c>
      <c r="E19" s="21" t="s">
        <v>637</v>
      </c>
      <c r="F19" s="20" t="s">
        <v>173</v>
      </c>
      <c r="G19" s="20" t="s">
        <v>497</v>
      </c>
    </row>
    <row r="20" spans="1:7" ht="39.6" customHeight="1" x14ac:dyDescent="0.3">
      <c r="A20" s="21" t="s">
        <v>667</v>
      </c>
      <c r="B20" s="20" t="s">
        <v>668</v>
      </c>
      <c r="C20" s="20" t="s">
        <v>669</v>
      </c>
      <c r="D20" s="20" t="s">
        <v>670</v>
      </c>
      <c r="E20" s="21" t="s">
        <v>637</v>
      </c>
      <c r="F20" s="20" t="s">
        <v>173</v>
      </c>
      <c r="G20" s="20" t="s">
        <v>472</v>
      </c>
    </row>
    <row r="21" spans="1:7" ht="39.6" customHeight="1" x14ac:dyDescent="0.3">
      <c r="A21" s="21" t="s">
        <v>671</v>
      </c>
      <c r="B21" s="20" t="s">
        <v>672</v>
      </c>
      <c r="C21" s="20" t="s">
        <v>673</v>
      </c>
      <c r="D21" s="20" t="s">
        <v>674</v>
      </c>
      <c r="E21" s="21" t="s">
        <v>675</v>
      </c>
      <c r="F21" s="20" t="s">
        <v>173</v>
      </c>
      <c r="G21" s="20" t="s">
        <v>676</v>
      </c>
    </row>
    <row r="22" spans="1:7" ht="66" x14ac:dyDescent="0.3">
      <c r="A22" s="21" t="s">
        <v>677</v>
      </c>
      <c r="B22" s="20" t="s">
        <v>678</v>
      </c>
      <c r="C22" s="20" t="s">
        <v>679</v>
      </c>
      <c r="D22" s="20" t="s">
        <v>680</v>
      </c>
      <c r="E22" s="21" t="s">
        <v>637</v>
      </c>
      <c r="F22" s="20" t="s">
        <v>173</v>
      </c>
      <c r="G22" s="20" t="s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สรุป</vt:lpstr>
      <vt:lpstr>Test Cases</vt:lpstr>
      <vt:lpstr>Bug ที่พบ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SORANUT SANGROONGRUANG</cp:lastModifiedBy>
  <dcterms:created xsi:type="dcterms:W3CDTF">2026-10-14T04:50:07Z</dcterms:created>
  <dcterms:modified xsi:type="dcterms:W3CDTF">2026-10-14T09:57:49Z</dcterms:modified>
</cp:coreProperties>
</file>